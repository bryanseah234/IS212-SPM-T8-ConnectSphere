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8"/>
  <workbookPr/>
  <mc:AlternateContent xmlns:mc="http://schemas.openxmlformats.org/markup-compatibility/2006">
    <mc:Choice Requires="x15">
      <x15ac:absPath xmlns:x15ac="http://schemas.microsoft.com/office/spreadsheetml/2010/11/ac" url="https://d.docs.live.net/ff0d03d943c0b684/04 SINGAPORE MANAGEMENT UNIVERSITY/2026/COURSE STUFF/IS212/PROJECT/ARCHIVE/"/>
    </mc:Choice>
  </mc:AlternateContent>
  <xr:revisionPtr revIDLastSave="18" documentId="11_0F55833C619E06091C5F416323E3F8459F5E7E27" xr6:coauthVersionLast="47" xr6:coauthVersionMax="47" xr10:uidLastSave="{C3EB8381-CD52-43A5-931B-959A55D11582}"/>
  <bookViews>
    <workbookView xWindow="-120" yWindow="-120" windowWidth="29040" windowHeight="15720" tabRatio="500" activeTab="2" xr2:uid="{00000000-000D-0000-FFFF-FFFF00000000}"/>
  </bookViews>
  <sheets>
    <sheet name="README" sheetId="1" r:id="rId1"/>
    <sheet name="RELEASE 1 BACKLOG" sheetId="2" r:id="rId2"/>
    <sheet name="PRODUCT BACKLOG" sheetId="3" r:id="rId3"/>
    <sheet name="SPRINT SUMMARY" sheetId="4" r:id="rId4"/>
    <sheet name="CORE FEATURES BUILT"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4" l="1"/>
  <c r="C5" i="4"/>
  <c r="B5" i="4"/>
  <c r="D4" i="4"/>
  <c r="C4" i="4"/>
  <c r="B4" i="4"/>
  <c r="C3" i="4"/>
  <c r="B3" i="4"/>
  <c r="C2" i="4"/>
  <c r="B2" i="4"/>
  <c r="C6" i="4" l="1"/>
  <c r="D5" i="4"/>
  <c r="D3" i="4"/>
  <c r="D2" i="4"/>
</calcChain>
</file>

<file path=xl/sharedStrings.xml><?xml version="1.0" encoding="utf-8"?>
<sst xmlns="http://schemas.openxmlformats.org/spreadsheetml/2006/main" count="855" uniqueCount="434">
  <si>
    <t>Project</t>
  </si>
  <si>
    <t>ConnectSphere Event Planning and Venue Booking System, IS212 (AY 2026/27 T1)</t>
  </si>
  <si>
    <t>Version</t>
  </si>
  <si>
    <t>5, 11 September 2026</t>
  </si>
  <si>
    <t>What changed in v5</t>
  </si>
  <si>
    <t>Closed eight open team assumptions (BDR section C). Two produced changes: registration lists now show name, email address and contact number rather than two fields (O-05), and a three-second response target for venue search, calendar load and registration submission was adopted and recorded in the Definition of Done (O-01, T-51). The other six confirmed existing assumptions. Six items remain open, all on stories outside Release 1. Story count and points are unchanged.</t>
  </si>
  <si>
    <t>What changed in v4</t>
  </si>
  <si>
    <t>Applied the Week 4 customer clarifications (BDR C-55 to C-64). The sessions model was withdrawn: multi-session events are now set up as separate events (C-62), which rewrote 29 stories and retired ADR-004 and ADR-005. Tentative venue holding returned to Release 1 (C-60). Registration capacity is now governed by the booked venue's capacity, with manual VIP addition (C-58). Coordinator reassignment gained an acceptance step (C-56). Two previously logged backlog edits were applied (T-46, T-47/B-11).</t>
  </si>
  <si>
    <t>Sheets</t>
  </si>
  <si>
    <t>RELEASE 1 BACKLOG - the 47 stories in the first release, grouped by sprint. PRODUCT BACKLOG - the full 71-story candidate pool across 14 epics. SPRINT SUMMARY - counts and points per sprint, for velocity and burndown. CORE FEATURES BUILT - the 20 core features from the Week 4 instructions mapped to the stories that deliver them.</t>
  </si>
  <si>
    <t>Backlog Decision Reference</t>
  </si>
  <si>
    <t>Points to the Backlog Decision Review document, which holds all rationale. C- entries are customer clarifications from the Week 2 and Week 4 Q&amp;A. T- entries are team decisions. O- entries are questions still open. B- entries are boundary rulings from the story overlap audit.</t>
  </si>
  <si>
    <t>Where the reasoning lives</t>
  </si>
  <si>
    <t>This workbook holds story data only. Every explanation of why a story exists, why a criterion is worded as it is, and which decisions remain assumptions rather than requirements is in the BDR.</t>
  </si>
  <si>
    <t>Acceptance criteria</t>
  </si>
  <si>
    <t>Given-When-Then scenarios first, each with a descriptive title, followed by a checklist distilled from them. The scenarios establish behaviour; the checklist maps onto test cases.</t>
  </si>
  <si>
    <t>Estimation</t>
  </si>
  <si>
    <t>T-shirt sizes set in planning poker. Points map S=1, M=3, L=5, XL=8 so velocity and burndown charts can be produced.</t>
  </si>
  <si>
    <t>Editing</t>
  </si>
  <si>
    <t>Add or change stories in the two backlog sheets. SPRINT SUMMARY recalculates from RELEASE 1 BACKLOG; do not overwrite its formulas. Record any new decision in the BDR and put its reference in the last column.</t>
  </si>
  <si>
    <t>Sprint</t>
  </si>
  <si>
    <t>Epic</t>
  </si>
  <si>
    <t>Story ID</t>
  </si>
  <si>
    <t>Story Title</t>
  </si>
  <si>
    <t>User Story</t>
  </si>
  <si>
    <t>Acceptance Criteria</t>
  </si>
  <si>
    <t>Points</t>
  </si>
  <si>
    <t>Sprint 1</t>
  </si>
  <si>
    <t>E01 Access &amp; Identity</t>
  </si>
  <si>
    <t>E01-S01</t>
  </si>
  <si>
    <t>Log in to the system</t>
  </si>
  <si>
    <t>As an Event Organiser, I want to log in with my registered credentials so that I can access my organisation's event information securely.</t>
  </si>
  <si>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</si>
  <si>
    <t>C-30, T-38, O-02</t>
  </si>
  <si>
    <t>E01-S02</t>
  </si>
  <si>
    <t>Restrict event visibility to my own client</t>
  </si>
  <si>
    <t>As an Event Organiser, I want to see only events belonging to my own client organisation so that other clients' information stays confidential.</t>
  </si>
  <si>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</si>
  <si>
    <t>C-40, B-01</t>
  </si>
  <si>
    <t>E01-S03</t>
  </si>
  <si>
    <t>Hide internal planning information from Attendees</t>
  </si>
  <si>
    <t>As an Attendee, I want to see only the published details of events I have registered for so that I am not shown ConnectSphere's internal planning information.</t>
  </si>
  <si>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</si>
  <si>
    <t>B-01</t>
  </si>
  <si>
    <t>E01-S04</t>
  </si>
  <si>
    <t>Update my account details</t>
  </si>
  <si>
    <t>As a system user, I want to update my name, organisation and contact details so that ConnectSphere reaches me at the correct address.</t>
  </si>
  <si>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organisation and contact details and see them persist
- Be blocked from saving a malformed email address, with the field identified
- Be blocked from taking an email address already in use
- Receive subsequent notifications at the updated address
- Not be able to change my own role from this screen</t>
  </si>
  <si>
    <t>T-08</t>
  </si>
  <si>
    <t>E01-S08</t>
  </si>
  <si>
    <t>Create an account</t>
  </si>
  <si>
    <t>As an Attendee, I want to create an account so that I can register for events and manage my registrations.</t>
  </si>
  <si>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</si>
  <si>
    <t>C-34, C-35, C-57</t>
  </si>
  <si>
    <t>E01-S11</t>
  </si>
  <si>
    <t>Deactivate my account</t>
  </si>
  <si>
    <t>As a system user, I want to deactivate my account so that I can stop using the system while ConnectSphere retains the records it needs.</t>
  </si>
  <si>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</si>
  <si>
    <t>C-26, T-09</t>
  </si>
  <si>
    <t>E02 Event Request &amp; Submission</t>
  </si>
  <si>
    <t>E02-S01</t>
  </si>
  <si>
    <t>Submit an event request</t>
  </si>
  <si>
    <t>As an Event Organiser, I want to submit an event request so that ConnectSphere can begin planning my event.</t>
  </si>
  <si>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</si>
  <si>
    <t>C-36, T-11, T-12</t>
  </si>
  <si>
    <t>E02-S02</t>
  </si>
  <si>
    <t>Save a draft event request</t>
  </si>
  <si>
    <t>As an Event Organiser, I want to save an incomplete event request as a draft so that I can gather the missing information and complete it later.</t>
  </si>
  <si>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</si>
  <si>
    <t>-</t>
  </si>
  <si>
    <t>E02-S03</t>
  </si>
  <si>
    <t>Match accessibility requirements to venue features</t>
  </si>
  <si>
    <t>As an Event Organiser, I want to record the accessibility requirements for my event so that ConnectSphere only offers venues that can meet them.</t>
  </si>
  <si>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</si>
  <si>
    <t>T-13, T-45, B-06</t>
  </si>
  <si>
    <t>E05 Venue Catalogue &amp; Availability</t>
  </si>
  <si>
    <t>E05-S01</t>
  </si>
  <si>
    <t>Maintain the venue catalogue</t>
  </si>
  <si>
    <t>As a Venue Staff member, I want to add and update venue records so that Event Coordinators search against accurate information.</t>
  </si>
  <si>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</si>
  <si>
    <t>T-13, T-18, B-05</t>
  </si>
  <si>
    <t>E05-S02</t>
  </si>
  <si>
    <t>Match layout requirements to venue capacity</t>
  </si>
  <si>
    <t>As a Venue Staff member, I want to record the room layouts supported by a venue and the maximum capacity for each layout, so that Event Coordinators only consider arrangements the venue can accommodate.</t>
  </si>
  <si>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</si>
  <si>
    <t>T-45, B-07</t>
  </si>
  <si>
    <t>E14 Audit &amp; History</t>
  </si>
  <si>
    <t>E14-S02</t>
  </si>
  <si>
    <t>Record significant actions in an activity log</t>
  </si>
  <si>
    <t>As a ConnectSphere staff member, I want significant actions to be recorded so that we can determine who did what and when.</t>
  </si>
  <si>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</si>
  <si>
    <t>T-04</t>
  </si>
  <si>
    <t>Sprint 2</t>
  </si>
  <si>
    <t>E03 Review, Coordination &amp; Status</t>
  </si>
  <si>
    <t>E03-S01</t>
  </si>
  <si>
    <t>Assign an Event Coordinator to a request</t>
  </si>
  <si>
    <t>As an Event Organiser, I want my submitted request to be assigned an Event Coordinator automatically so that my event has one clear internal owner from the outset.</t>
  </si>
  <si>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</si>
  <si>
    <t>C-12, C-41, C-55, C-56, T-14, T-15</t>
  </si>
  <si>
    <t>E03-S02</t>
  </si>
  <si>
    <t>Request clarification from the Event Organiser</t>
  </si>
  <si>
    <t>As an Event Coordinator, I want to return a request to the Event Organiser with specific questions so that unclear requirements are corrected before planning begins.</t>
  </si>
  <si>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</si>
  <si>
    <t>C-10, B-02</t>
  </si>
  <si>
    <t>E03-S03</t>
  </si>
  <si>
    <t>Decide on an event request</t>
  </si>
  <si>
    <t>As an Event Coordinator, I want to approve or reject a request and record my reasoning so that the Event Organiser receives a clear, traceable decision.</t>
  </si>
  <si>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</si>
  <si>
    <t>C-09, T-39, T-41, T-43, O-06</t>
  </si>
  <si>
    <t>E03-S05</t>
  </si>
  <si>
    <t>Track the status of my event</t>
  </si>
  <si>
    <t>As an Event Organiser, I want to see the current status of my event so that I know what stage planning has reached without contacting my Coordinator.</t>
  </si>
  <si>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</si>
  <si>
    <t>B-03</t>
  </si>
  <si>
    <t>E03-S06</t>
  </si>
  <si>
    <t>Discuss an event through comments</t>
  </si>
  <si>
    <t>As an Event Organiser, I want to post comments and questions on my event record so that planning conversations with my Coordinator are kept with the event rather than scattered across email.</t>
  </si>
  <si>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</si>
  <si>
    <t>C-15, C-47, B-02</t>
  </si>
  <si>
    <t>E03-S07</t>
  </si>
  <si>
    <t>View and update event information</t>
  </si>
  <si>
    <t>As an Event Coordinator, I want to view and update event information while planning is underway so that the record stays accurate as details are settled.</t>
  </si>
  <si>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</si>
  <si>
    <t>C-52, T-16</t>
  </si>
  <si>
    <t>E05-S03</t>
  </si>
  <si>
    <t>View the venue availability calendar</t>
  </si>
  <si>
    <t>As an Event Coordinator, I want to view a venue's calendar so that I can see when the venue is free, pending, confirmed or blocked.</t>
  </si>
  <si>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</si>
  <si>
    <t>C-40, C-60, T-17, T-49</t>
  </si>
  <si>
    <t>E05-S04</t>
  </si>
  <si>
    <t>Block a venue for maintenance</t>
  </si>
  <si>
    <t>As a Venue Staff member, I want to block a venue for maintenance, renovation or safety reasons so that it is not offered for events during that period.</t>
  </si>
  <si>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</si>
  <si>
    <t>E06 Venue Search &amp; Booking</t>
  </si>
  <si>
    <t>E06-S01</t>
  </si>
  <si>
    <t>Search for suitable venues</t>
  </si>
  <si>
    <t>As an Event Coordinator, I want to search venues by date, time, attendance, capacity, layout, accessibility and facilities so that I can shortlist options for an event quickly.</t>
  </si>
  <si>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</si>
  <si>
    <t>B-08</t>
  </si>
  <si>
    <t>E11 Notifications &amp; Reminders</t>
  </si>
  <si>
    <t>E11-S01</t>
  </si>
  <si>
    <t>Notify users about events they are involved in</t>
  </si>
  <si>
    <t>As a user involved in an event, I want to be notified when its status or arrangements change so that I do not have to keep checking the system and nobody continues working from outdated information.</t>
  </si>
  <si>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</si>
  <si>
    <t>C-04, C-29, C-53, T-35, T-36, T-44, T-48</t>
  </si>
  <si>
    <t>Sprint 3</t>
  </si>
  <si>
    <t>E06-S02</t>
  </si>
  <si>
    <t>Check venue suitability against event requirements</t>
  </si>
  <si>
    <t>As an Event Coordinator, I want the system to compare a venue against the event's recorded requirements so that I do not request a venue that cannot meet them.</t>
  </si>
  <si>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</si>
  <si>
    <t>C-06, T-13, T-21, B-08</t>
  </si>
  <si>
    <t>E06-S03</t>
  </si>
  <si>
    <t>Request a venue booking</t>
  </si>
  <si>
    <t>As an Event Coordinator, I want to submit a venue booking request for an event so that Venue Staff can review it and decide whether the venue can be provided.</t>
  </si>
  <si>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</si>
  <si>
    <t>C-01, C-16, C-17, C-37, C-46, C-60, T-20, T-49</t>
  </si>
  <si>
    <t>E06-S04</t>
  </si>
  <si>
    <t>Decide on a venue booking request</t>
  </si>
  <si>
    <t>As a Venue Staff member, I want to approve or reject booking requests and record my reasoning so that Coordinators receive a clear, traceable decision.</t>
  </si>
  <si>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</si>
  <si>
    <t>C-08, T-39</t>
  </si>
  <si>
    <t>E06-S05</t>
  </si>
  <si>
    <t>Hold a venue tentatively</t>
  </si>
  <si>
    <t>As an Event Coordinator, I want to place a tentative hold on a venue so that it is not taken by another event while the arrangements are still being finalised.</t>
  </si>
  <si>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</si>
  <si>
    <t>C-01, C-16, C-37, C-60, T-49</t>
  </si>
  <si>
    <t>E06-S06</t>
  </si>
  <si>
    <t>Prevent double-booking of a venue</t>
  </si>
  <si>
    <t>As a Venue Staff member, I want to be blocked from approving a booking that overlaps an existing confirmed booking for the same venue so that a venue is never committed to two events at once.</t>
  </si>
  <si>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</si>
  <si>
    <t>C-46, T-22</t>
  </si>
  <si>
    <t>E07 Equipment &amp; Technical Support</t>
  </si>
  <si>
    <t>E07-S01</t>
  </si>
  <si>
    <t>Maintain the equipment catalogue</t>
  </si>
  <si>
    <t>As a Technical Support Staff member, I want to maintain equipment records including type, quantity, location and operational status so that availability checks are based on accurate data.</t>
  </si>
  <si>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</si>
  <si>
    <t>E07-S02</t>
  </si>
  <si>
    <t>Request equipment for an event</t>
  </si>
  <si>
    <t>As an Event Coordinator, I want to record the equipment an event needs, with quantities, so that Technical Support Staff can check whether it can be provided.</t>
  </si>
  <si>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</si>
  <si>
    <t>T-25</t>
  </si>
  <si>
    <t>E07-S03</t>
  </si>
  <si>
    <t>Check equipment availability</t>
  </si>
  <si>
    <t>As a Technical Support Staff member, I want to see how much of an item is free for a given date and time so that I can decide whether a request can be met.</t>
  </si>
  <si>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</si>
  <si>
    <t>C-07, C-20</t>
  </si>
  <si>
    <t>E07-S04</t>
  </si>
  <si>
    <t>Reserve equipment for an event</t>
  </si>
  <si>
    <t>As a Technical Support Staff member, I want to reserve equipment for an event so that limited equipment is not committed to two events at the same time.</t>
  </si>
  <si>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</si>
  <si>
    <t>C-21, T-24, B-09</t>
  </si>
  <si>
    <t>E07-S05</t>
  </si>
  <si>
    <t>Mark equipment as unavailable</t>
  </si>
  <si>
    <t>As a Technical Support Staff member, I want to mark equipment as damaged or under maintenance so that it is not treated as available for events.</t>
  </si>
  <si>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</si>
  <si>
    <t>B-04</t>
  </si>
  <si>
    <t>E07-S06</t>
  </si>
  <si>
    <t>Request technical support for an event</t>
  </si>
  <si>
    <t>As an Event Coordinator, I want to request on-site technical support for an event and describe what is needed so that suitable staff can be allocated.</t>
  </si>
  <si>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</si>
  <si>
    <t>C-22, T-23</t>
  </si>
  <si>
    <t>E07-S07</t>
  </si>
  <si>
    <t>Assign and manage technical staff for an event</t>
  </si>
  <si>
    <t>As a Technical Support Staff member, I want to assign and manage available colleagues to support an event so that the right people are on site at the right time.</t>
  </si>
  <si>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</si>
  <si>
    <t>C-39</t>
  </si>
  <si>
    <t>E08 Readiness &amp; Confirmation</t>
  </si>
  <si>
    <t>E08-S03</t>
  </si>
  <si>
    <t>Confirm an event</t>
  </si>
  <si>
    <t>As an Event Coordinator, I want to confirm an event once the event's arrangements are complete so that the Event Organiser and Attendees can rely on the details.</t>
  </si>
  <si>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</si>
  <si>
    <t>C-13, C-39, C-59, C-63, T-02, T-24, T-27</t>
  </si>
  <si>
    <t>Sprint 4</t>
  </si>
  <si>
    <t>E08-S04</t>
  </si>
  <si>
    <t>Revert a confirmed event to planning</t>
  </si>
  <si>
    <t>As an Event Coordinator, I want to return a confirmed event to planning when an arrangement breaks so that its status reflects reality.</t>
  </si>
  <si>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</si>
  <si>
    <t>C-48, T-03, T-28</t>
  </si>
  <si>
    <t>E08-S05</t>
  </si>
  <si>
    <t>Complete an event</t>
  </si>
  <si>
    <t>As an Event Coordinator, I want an event to become Completed once it has taken place so that attendance can be recorded and the event closed.</t>
  </si>
  <si>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</si>
  <si>
    <t>T-03, T-26, T-48</t>
  </si>
  <si>
    <t>E09 Attendee Registration</t>
  </si>
  <si>
    <t>E09-S01</t>
  </si>
  <si>
    <t>Register for an event</t>
  </si>
  <si>
    <t>As an Attendee, I want to register for a confirmed event so that my place is reserved and I receive the event information.</t>
  </si>
  <si>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</si>
  <si>
    <t>C-35, T-48</t>
  </si>
  <si>
    <t>E09-S02</t>
  </si>
  <si>
    <t>Enforce registration capacity</t>
  </si>
  <si>
    <t>As an Event Organiser, I want registration to stop at the booked venue's capacity so that more people do not register than the venue can hold.</t>
  </si>
  <si>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</si>
  <si>
    <t>C-05, C-58, T-30, T-31, T-50, B-11</t>
  </si>
  <si>
    <t>E09-S03</t>
  </si>
  <si>
    <t>Control the registration period</t>
  </si>
  <si>
    <t>As an Event Organiser, I want to set when registration opens and closes, and when withdrawal closes, so that Attendees can act only during the permitted windows.</t>
  </si>
  <si>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</si>
  <si>
    <t>C-24, C-44, T-42</t>
  </si>
  <si>
    <t>E09-S04</t>
  </si>
  <si>
    <t>Join the waiting list</t>
  </si>
  <si>
    <t>As an Attendee, I want to join the waiting list when an event is full so that I can still attend if a place is released.</t>
  </si>
  <si>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</si>
  <si>
    <t>C-23, T-33, T-46, B-10</t>
  </si>
  <si>
    <t>E09-S05</t>
  </si>
  <si>
    <t>Withdraw my registration</t>
  </si>
  <si>
    <t>As an Attendee, I want to withdraw my registration so that my place is released to someone else.</t>
  </si>
  <si>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</si>
  <si>
    <t>C-24, T-48, B-10</t>
  </si>
  <si>
    <t>E09-S06</t>
  </si>
  <si>
    <t>Record attendance</t>
  </si>
  <si>
    <t>As an Event Coordinator, I want to record which registered Attendees actually attended the event so that registration and attendance can be distinguished.</t>
  </si>
  <si>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</si>
  <si>
    <t>C-45</t>
  </si>
  <si>
    <t>E09-S07</t>
  </si>
  <si>
    <t>View registrations for my event</t>
  </si>
  <si>
    <t>As an Event Organiser, I want to view the list of Attendees registered for my event so that I can plan for the numbers attending the event.</t>
  </si>
  <si>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</si>
  <si>
    <t>C-26, T-32, O-05</t>
  </si>
  <si>
    <t>E10 Changes, Rescheduling &amp; Cancellation</t>
  </si>
  <si>
    <t>E10-S01</t>
  </si>
  <si>
    <t>Request a change after submission</t>
  </si>
  <si>
    <t>As an Event Organiser, I want to request a change to my event after it has been submitted or confirmed so that the arrangements reflect what I now need.</t>
  </si>
  <si>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</si>
  <si>
    <t>C-14, C-52, C-54, T-16</t>
  </si>
  <si>
    <t>E10-S02</t>
  </si>
  <si>
    <t>Distinguish minor edits from arrangement-affecting changes</t>
  </si>
  <si>
    <t>As an Event Coordinator, I want the system to tell me when a change affects arrangements already confirmed so that I re-check them rather than assuming they still hold.</t>
  </si>
  <si>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</si>
  <si>
    <t>C-05, T-16, B-05, B-11</t>
  </si>
  <si>
    <t>E10-S04</t>
  </si>
  <si>
    <t>Cancel an event</t>
  </si>
  <si>
    <t>As an Event Coordinator, I want to cancel an event and release its arrangements so that venues and equipment do not stay committed to something that will not happen.</t>
  </si>
  <si>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</si>
  <si>
    <t>C-14, C-54, T-07, T-48</t>
  </si>
  <si>
    <t>Release</t>
  </si>
  <si>
    <t>E01-S05</t>
  </si>
  <si>
    <t>Set my notification preferences</t>
  </si>
  <si>
    <t>As an Event Coordinator, I want to choose which notifications I receive and through which channel so that I am not overwhelmed by messages that do not concern me.</t>
  </si>
  <si>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</si>
  <si>
    <t>C-29</t>
  </si>
  <si>
    <t>E01-S06</t>
  </si>
  <si>
    <t>Maintain client organisation records</t>
  </si>
  <si>
    <t>As an Event Coordinator, I want to create and update client organisation records so that several Event Organisers from the same client are linked to one organisation.</t>
  </si>
  <si>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</si>
  <si>
    <t>E01-S07</t>
  </si>
  <si>
    <t>View a client's event history</t>
  </si>
  <si>
    <t>As an Event Coordinator, I want to view all past and upcoming events for a client organisation so that I can prepare for a new request with that client's history in mind.</t>
  </si>
  <si>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</si>
  <si>
    <t>E01-S09</t>
  </si>
  <si>
    <t>Switch between my roles</t>
  </si>
  <si>
    <t>As a user who holds more than one role, I want to switch my active role so that I can act on the tasks belonging to each role without a separate account for each.</t>
  </si>
  <si>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</si>
  <si>
    <t>C-33, T-10</t>
  </si>
  <si>
    <t>E02-S04</t>
  </si>
  <si>
    <t>Classify an event by category</t>
  </si>
  <si>
    <t>As an Event Coordinator, I want to assign a category to an event from a predefined list so that events are classified to support filtering and reporting.</t>
  </si>
  <si>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</si>
  <si>
    <t>C-32, O-13</t>
  </si>
  <si>
    <t>E02-S05</t>
  </si>
  <si>
    <t>Reuse a previous event's details</t>
  </si>
  <si>
    <t>As an Event Organiser, I want to create a new request by copying a previous event so that I do not re-enter the same information for a recurring event.</t>
  </si>
  <si>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</si>
  <si>
    <t>E02-S06</t>
  </si>
  <si>
    <t>Attach supporting documents</t>
  </si>
  <si>
    <t>As an Event Organiser, I want to attach documents such as floor plans and programmes to my event so that ConnectSphere has the materials it needs.</t>
  </si>
  <si>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</si>
  <si>
    <t>C-31, T-40, O-08</t>
  </si>
  <si>
    <t>E04 Programme &amp; Sessions</t>
  </si>
  <si>
    <t>E04-S01</t>
  </si>
  <si>
    <t>Record the event programme</t>
  </si>
  <si>
    <t>As an Event Organiser, I want to record the programme for my event, including sessions and breaks, so that ConnectSphere can plan the venue and support around it.</t>
  </si>
  <si>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</si>
  <si>
    <t>T-19</t>
  </si>
  <si>
    <t>E04-S02</t>
  </si>
  <si>
    <t>Create a multi-session event</t>
  </si>
  <si>
    <t>As an Event Organiser, I want to define an event made up of one or more sessions so that each session's requirements can be planned separately.</t>
  </si>
  <si>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</si>
  <si>
    <t>C-19, C-62, T-48</t>
  </si>
  <si>
    <t>E05-S05</t>
  </si>
  <si>
    <t>Apply setup and turnaround time</t>
  </si>
  <si>
    <t>As a Venue Staff member, I want to record the setup and turnaround time each venue requires so that consecutive bookings leave enough time for preparation and reset.</t>
  </si>
  <si>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</si>
  <si>
    <t>C-18, C-38</t>
  </si>
  <si>
    <t>E08-S01</t>
  </si>
  <si>
    <t>View readiness of an event</t>
  </si>
  <si>
    <t>As an Event Coordinator, I want to see whether venue, equipment and technical support are ready so that I know what still needs my attention.</t>
  </si>
  <si>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</si>
  <si>
    <t>E08-S02</t>
  </si>
  <si>
    <t>Track outstanding actions across events</t>
  </si>
  <si>
    <t>As an Event Coordinator, I want a list of upcoming events with incomplete arrangements so that nothing is overlooked before an event takes place.</t>
  </si>
  <si>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</si>
  <si>
    <t>C-28</t>
  </si>
  <si>
    <t>E10-S03</t>
  </si>
  <si>
    <t>Reschedule an event</t>
  </si>
  <si>
    <t>As an Event Coordinator, I want to reschedule an event to new dates so that it can still take place when the original dates no longer work.</t>
  </si>
  <si>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</si>
  <si>
    <t>C-25, O-18</t>
  </si>
  <si>
    <t>E10-S05</t>
  </si>
  <si>
    <t>Handle a venue lost from a confirmed event</t>
  </si>
  <si>
    <t>As an Event Coordinator, I want to be alerted when a venue becomes unavailable for one of my confirmed events so that I can arrange an alternative before Attendees are affected.</t>
  </si>
  <si>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</si>
  <si>
    <t>E11-S03</t>
  </si>
  <si>
    <t>Receive reminders about upcoming commitments</t>
  </si>
  <si>
    <t>As a Technical Support Staff member, I want reminders about upcoming events I am supporting so that equipment and support are prepared in time.</t>
  </si>
  <si>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</si>
  <si>
    <t>C-28, O-11</t>
  </si>
  <si>
    <t>E11-S04</t>
  </si>
  <si>
    <t>Alert on incomplete arrangements</t>
  </si>
  <si>
    <t>As an Event Coordinator, I want to be alerted when an upcoming event still has incomplete arrangements so that I can act while there is still time.</t>
  </si>
  <si>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</si>
  <si>
    <t>E12 Calendar, Search &amp; Dashboards</t>
  </si>
  <si>
    <t>E12-S01</t>
  </si>
  <si>
    <t>View my events in a calendar</t>
  </si>
  <si>
    <t>As an Event Coordinator, I want to see my events in a calendar so that I can plan my workload across the coming weeks.</t>
  </si>
  <si>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</si>
  <si>
    <t>E12-S02</t>
  </si>
  <si>
    <t>Search and filter events</t>
  </si>
  <si>
    <t>As an Event Coordinator, I want to search events by name, client, date, venue, status, category or assigned Coordinator so that I can find a specific event quickly.</t>
  </si>
  <si>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</si>
  <si>
    <t>E12-S03</t>
  </si>
  <si>
    <t>See my work on a role-based dashboard</t>
  </si>
  <si>
    <t>As a Venue Staff member, I want a dashboard showing booking requests awaiting my decision and upcoming venue preparations so that I can see my outstanding work in one place.</t>
  </si>
  <si>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</si>
  <si>
    <t>E12-S04</t>
  </si>
  <si>
    <t>Use the system on a mobile device</t>
  </si>
  <si>
    <t>As a Venue Staff member, I want to use the system on my phone while preparing a venue so that I can check and update arrangements without returning to a desk.</t>
  </si>
  <si>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</si>
  <si>
    <t>E13 Reporting &amp; Export</t>
  </si>
  <si>
    <t>E13-S01</t>
  </si>
  <si>
    <t>Generate an event report</t>
  </si>
  <si>
    <t>As an Event Coordinator, I want to generate a summary report for an event so that I can share the arrangements at operational meetings.</t>
  </si>
  <si>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</si>
  <si>
    <t>C-27, O-01</t>
  </si>
  <si>
    <t>E13-S02</t>
  </si>
  <si>
    <t>Review venue usage over a period</t>
  </si>
  <si>
    <t>As a Venue Staff member, I want to review venue bookings and usage over a chosen period so that I can plan maintenance and identify under-used spaces.</t>
  </si>
  <si>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</si>
  <si>
    <t>E13-S03</t>
  </si>
  <si>
    <t>Export attendee registration information</t>
  </si>
  <si>
    <t>As an Event Organiser, I want to export the registration list for my event so that I can prepare badges and catering numbers.</t>
  </si>
  <si>
    <t>Checklist
- Export registrations only for events the Organiser manages
- Generate a downloadable file of the registration list
- Exclude sensitive personal data from the generated file</t>
  </si>
  <si>
    <t>C-26, T-32</t>
  </si>
  <si>
    <t>E14-S01</t>
  </si>
  <si>
    <t>View an event's change history</t>
  </si>
  <si>
    <t>As an Event Coordinator, I want to see how an event's important information has changed over time so that I can explain how the current arrangements were reached.</t>
  </si>
  <si>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</si>
  <si>
    <t>Stories</t>
  </si>
  <si>
    <t>Cumulative</t>
  </si>
  <si>
    <t>Notes</t>
  </si>
  <si>
    <t>Story Points</t>
  </si>
  <si>
    <t>Deliberately the lightest. First sprint; the project instructions allow an initial sprint to be rough given evidence of reflection.</t>
  </si>
  <si>
    <t>S = 1</t>
  </si>
  <si>
    <t>Carries the notification enabler (E11-S01), which roughly fifteen later stories depend on.</t>
  </si>
  <si>
    <t>M = 3</t>
  </si>
  <si>
    <t>Venue booking including tentative holds, and the whole of equipment and technical support, ending with confirmation.</t>
  </si>
  <si>
    <t>L = 5</t>
  </si>
  <si>
    <t>Registration, changes and cancellation. The showcase sprint.</t>
  </si>
  <si>
    <t>XL = 8</t>
  </si>
  <si>
    <t>Total</t>
  </si>
  <si>
    <t>Counts and points are calculated from RELEASE 1 BACKLOG and update when it changes. The size-to-points mapping is a team decision (BDR T-37), not a customer requirement.</t>
  </si>
  <si>
    <t>No.</t>
  </si>
  <si>
    <t>Core feature</t>
  </si>
  <si>
    <t>Delivered by</t>
  </si>
  <si>
    <t>User Authorisation and Authentication</t>
  </si>
  <si>
    <t>E01-S01, E01-S02, E01-S03, E01-S08, E01-S11</t>
  </si>
  <si>
    <t>Event Request Creation</t>
  </si>
  <si>
    <t>E02-S01, E02-S03</t>
  </si>
  <si>
    <t>Draft Event Requests</t>
  </si>
  <si>
    <t>Event Review and Approval</t>
  </si>
  <si>
    <t>E03-S02, E03-S03</t>
  </si>
  <si>
    <t>Coordinator Assignment</t>
  </si>
  <si>
    <t>Event Status Management</t>
  </si>
  <si>
    <t>E03-S05, E08-S03, E08-S04, E08-S05</t>
  </si>
  <si>
    <t>Event Information Management</t>
  </si>
  <si>
    <t>E03-S07, E10-S02</t>
  </si>
  <si>
    <t>Venue Catalogue</t>
  </si>
  <si>
    <t>E05-S01, E05-S02</t>
  </si>
  <si>
    <t>Venue Availability Calendar</t>
  </si>
  <si>
    <t>E05-S03, E05-S04</t>
  </si>
  <si>
    <t>Venue Search and Filtering</t>
  </si>
  <si>
    <t>Venue Suitability Checking</t>
  </si>
  <si>
    <t>Venue Booking Request</t>
  </si>
  <si>
    <t>Venue Booking Approval</t>
  </si>
  <si>
    <t>Booking Conflict Detection</t>
  </si>
  <si>
    <t>Equipment Request Management</t>
  </si>
  <si>
    <t>Equipment Availability Checking</t>
  </si>
  <si>
    <t>E07-S01, E07-S03, E07-S05</t>
  </si>
  <si>
    <t>Equipment Reservation</t>
  </si>
  <si>
    <t>Attendee Registration</t>
  </si>
  <si>
    <t>E09-S01, E09-S05, E09-S07</t>
  </si>
  <si>
    <t>Event Change Requests</t>
  </si>
  <si>
    <t>E10-S01, E10-S02</t>
  </si>
  <si>
    <t>Notification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</si>
</sst>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0"/>
      <name val="Arial"/>
      <family val="2"/>
    </font>
    <font>
      <sz val="9"/>
      <name val="Arial"/>
      <family val="2"/>
    </font>
    <font>
      <b/>
      <sz val="9"/>
      <name val="Arial"/>
      <family val="2"/>
    </font>
    <font>
      <b/>
      <sz val="10"/>
      <name val="Arial"/>
      <family val="2"/>
    </font>
    <font>
      <i/>
      <sz val="9"/>
      <name val="Arial"/>
      <family val="2"/>
    </font>
    <font>
      <sz val="10"/>
      <color theme="1"/>
      <name val="Arial"/>
      <family val="2"/>
    </font>
  </fonts>
  <fills count="3">
    <fill>
      <patternFill patternType="none"/>
    </fill>
    <fill>
      <patternFill patternType="gray125"/>
    </fill>
    <fill>
      <patternFill patternType="solid">
        <fgColor rgb="FFD9D9D9"/>
        <bgColor rgb="FFBFBFB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1" xfId="0" applyFont="1" applyBorder="1" applyAlignment="1">
      <alignment vertical="top" wrapText="1"/>
    </xf>
    <xf numFmtId="0" fontId="4" fillId="2" borderId="1" xfId="0" applyFont="1" applyFill="1" applyBorder="1"/>
    <xf numFmtId="0" fontId="2" fillId="0" borderId="1" xfId="0" applyFont="1" applyBorder="1"/>
    <xf numFmtId="0" fontId="3" fillId="0" borderId="1" xfId="0" applyFont="1" applyBorder="1"/>
    <xf numFmtId="0" fontId="0" fillId="0" borderId="1" xfId="0" applyBorder="1"/>
    <xf numFmtId="0" fontId="5" fillId="0" borderId="0" xfId="0" applyFont="1" applyAlignment="1">
      <alignment vertical="top" wrapText="1"/>
    </xf>
    <xf numFmtId="0" fontId="1" fillId="0" borderId="0" xfId="0" applyFont="1" applyAlignment="1">
      <alignment horizontal="center" vertical="center" wrapText="1"/>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2" xfId="0" applyFont="1" applyFill="1" applyBorder="1" applyAlignment="1">
      <alignment horizontal="center" vertical="center"/>
    </xf>
    <xf numFmtId="0" fontId="0" fillId="0" borderId="2" xfId="0"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zoomScaleNormal="100" workbookViewId="0">
      <selection sqref="A1:B17"/>
    </sheetView>
  </sheetViews>
  <sheetFormatPr defaultColWidth="8.7109375" defaultRowHeight="12.75" x14ac:dyDescent="0.25"/>
  <cols>
    <col min="1" max="1" width="22.7109375" style="8" bestFit="1" customWidth="1"/>
    <col min="2" max="2" width="117.7109375" style="8" bestFit="1" customWidth="1"/>
    <col min="3" max="16384" width="8.7109375" style="8"/>
  </cols>
  <sheetData>
    <row r="1" spans="1:2" x14ac:dyDescent="0.25">
      <c r="A1" s="7" t="s">
        <v>0</v>
      </c>
      <c r="B1" s="7" t="s">
        <v>1</v>
      </c>
    </row>
    <row r="2" spans="1:2" x14ac:dyDescent="0.25">
      <c r="A2" s="7" t="s">
        <v>2</v>
      </c>
      <c r="B2" s="7" t="s">
        <v>3</v>
      </c>
    </row>
    <row r="3" spans="1:2" x14ac:dyDescent="0.25">
      <c r="A3" s="7"/>
      <c r="B3" s="7"/>
    </row>
    <row r="4" spans="1:2" ht="51" x14ac:dyDescent="0.25">
      <c r="A4" s="7" t="s">
        <v>4</v>
      </c>
      <c r="B4" s="7" t="s">
        <v>5</v>
      </c>
    </row>
    <row r="5" spans="1:2" ht="51" x14ac:dyDescent="0.25">
      <c r="A5" s="7" t="s">
        <v>6</v>
      </c>
      <c r="B5" s="7" t="s">
        <v>7</v>
      </c>
    </row>
    <row r="6" spans="1:2" x14ac:dyDescent="0.25">
      <c r="A6" s="7"/>
      <c r="B6" s="7"/>
    </row>
    <row r="7" spans="1:2" ht="38.25" x14ac:dyDescent="0.25">
      <c r="A7" s="7" t="s">
        <v>8</v>
      </c>
      <c r="B7" s="7" t="s">
        <v>9</v>
      </c>
    </row>
    <row r="8" spans="1:2" x14ac:dyDescent="0.25">
      <c r="A8" s="7"/>
      <c r="B8" s="7"/>
    </row>
    <row r="9" spans="1:2" ht="38.25" x14ac:dyDescent="0.25">
      <c r="A9" s="7" t="s">
        <v>10</v>
      </c>
      <c r="B9" s="7" t="s">
        <v>11</v>
      </c>
    </row>
    <row r="10" spans="1:2" x14ac:dyDescent="0.25">
      <c r="A10" s="7"/>
      <c r="B10" s="7"/>
    </row>
    <row r="11" spans="1:2" ht="25.5" x14ac:dyDescent="0.25">
      <c r="A11" s="7" t="s">
        <v>12</v>
      </c>
      <c r="B11" s="7" t="s">
        <v>13</v>
      </c>
    </row>
    <row r="12" spans="1:2" x14ac:dyDescent="0.25">
      <c r="A12" s="7"/>
      <c r="B12" s="7"/>
    </row>
    <row r="13" spans="1:2" ht="25.5" x14ac:dyDescent="0.25">
      <c r="A13" s="7" t="s">
        <v>14</v>
      </c>
      <c r="B13" s="7" t="s">
        <v>15</v>
      </c>
    </row>
    <row r="14" spans="1:2" x14ac:dyDescent="0.25">
      <c r="A14" s="7"/>
      <c r="B14" s="7"/>
    </row>
    <row r="15" spans="1:2" x14ac:dyDescent="0.25">
      <c r="A15" s="7" t="s">
        <v>16</v>
      </c>
      <c r="B15" s="7" t="s">
        <v>17</v>
      </c>
    </row>
    <row r="16" spans="1:2" x14ac:dyDescent="0.25">
      <c r="A16" s="7"/>
      <c r="B16" s="7"/>
    </row>
    <row r="17" spans="1:2" ht="25.5" x14ac:dyDescent="0.25">
      <c r="A17" s="7" t="s">
        <v>18</v>
      </c>
      <c r="B17" s="7" t="s">
        <v>19</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1" topLeftCell="A2" activePane="bottomLeft" state="frozen"/>
      <selection pane="bottomLeft" activeCell="E2" sqref="E2"/>
    </sheetView>
  </sheetViews>
  <sheetFormatPr defaultColWidth="8.7109375" defaultRowHeight="15" x14ac:dyDescent="0.25"/>
  <cols>
    <col min="1" max="1" width="11" style="10" customWidth="1"/>
    <col min="2" max="2" width="26" style="10" customWidth="1"/>
    <col min="3" max="3" width="10" style="10" customWidth="1"/>
    <col min="4" max="4" width="30" style="10" customWidth="1"/>
    <col min="5" max="5" width="46" style="10" customWidth="1"/>
    <col min="6" max="6" width="88" style="10" customWidth="1"/>
    <col min="7" max="7" width="8" style="10" customWidth="1"/>
    <col min="8" max="8" width="26" style="10" customWidth="1"/>
    <col min="9" max="16384" width="8.7109375" style="10"/>
  </cols>
  <sheetData>
    <row r="1" spans="1:8" ht="25.5" x14ac:dyDescent="0.25">
      <c r="A1" s="9" t="s">
        <v>20</v>
      </c>
      <c r="B1" s="9" t="s">
        <v>21</v>
      </c>
      <c r="C1" s="9" t="s">
        <v>22</v>
      </c>
      <c r="D1" s="9" t="s">
        <v>23</v>
      </c>
      <c r="E1" s="9" t="s">
        <v>24</v>
      </c>
      <c r="F1" s="9" t="s">
        <v>25</v>
      </c>
      <c r="G1" s="9" t="s">
        <v>26</v>
      </c>
      <c r="H1" s="9" t="s">
        <v>10</v>
      </c>
    </row>
    <row r="2" spans="1:8" ht="324" x14ac:dyDescent="0.25">
      <c r="A2" s="11" t="s">
        <v>27</v>
      </c>
      <c r="B2" s="11" t="s">
        <v>28</v>
      </c>
      <c r="C2" s="12" t="s">
        <v>29</v>
      </c>
      <c r="D2" s="12" t="s">
        <v>30</v>
      </c>
      <c r="E2" s="11" t="s">
        <v>31</v>
      </c>
      <c r="F2" s="11" t="s">
        <v>32</v>
      </c>
      <c r="G2" s="13">
        <v>3</v>
      </c>
      <c r="H2" s="11" t="s">
        <v>33</v>
      </c>
    </row>
    <row r="3" spans="1:8" ht="240" x14ac:dyDescent="0.25">
      <c r="A3" s="11" t="s">
        <v>27</v>
      </c>
      <c r="B3" s="11" t="s">
        <v>28</v>
      </c>
      <c r="C3" s="12" t="s">
        <v>34</v>
      </c>
      <c r="D3" s="12" t="s">
        <v>35</v>
      </c>
      <c r="E3" s="11" t="s">
        <v>36</v>
      </c>
      <c r="F3" s="11" t="s">
        <v>37</v>
      </c>
      <c r="G3" s="13">
        <v>5</v>
      </c>
      <c r="H3" s="11" t="s">
        <v>38</v>
      </c>
    </row>
    <row r="4" spans="1:8" ht="168" x14ac:dyDescent="0.25">
      <c r="A4" s="11" t="s">
        <v>27</v>
      </c>
      <c r="B4" s="11" t="s">
        <v>28</v>
      </c>
      <c r="C4" s="12" t="s">
        <v>39</v>
      </c>
      <c r="D4" s="12" t="s">
        <v>40</v>
      </c>
      <c r="E4" s="11" t="s">
        <v>41</v>
      </c>
      <c r="F4" s="11" t="s">
        <v>42</v>
      </c>
      <c r="G4" s="13">
        <v>3</v>
      </c>
      <c r="H4" s="11" t="s">
        <v>43</v>
      </c>
    </row>
    <row r="5" spans="1:8" ht="264" x14ac:dyDescent="0.25">
      <c r="A5" s="11" t="s">
        <v>27</v>
      </c>
      <c r="B5" s="11" t="s">
        <v>28</v>
      </c>
      <c r="C5" s="12" t="s">
        <v>44</v>
      </c>
      <c r="D5" s="12" t="s">
        <v>45</v>
      </c>
      <c r="E5" s="11" t="s">
        <v>46</v>
      </c>
      <c r="F5" s="11" t="s">
        <v>47</v>
      </c>
      <c r="G5" s="13">
        <v>1</v>
      </c>
      <c r="H5" s="11" t="s">
        <v>48</v>
      </c>
    </row>
    <row r="6" spans="1:8" ht="252" x14ac:dyDescent="0.25">
      <c r="A6" s="11" t="s">
        <v>27</v>
      </c>
      <c r="B6" s="11" t="s">
        <v>28</v>
      </c>
      <c r="C6" s="12" t="s">
        <v>49</v>
      </c>
      <c r="D6" s="12" t="s">
        <v>50</v>
      </c>
      <c r="E6" s="11" t="s">
        <v>51</v>
      </c>
      <c r="F6" s="11" t="s">
        <v>52</v>
      </c>
      <c r="G6" s="13">
        <v>3</v>
      </c>
      <c r="H6" s="11" t="s">
        <v>53</v>
      </c>
    </row>
    <row r="7" spans="1:8" ht="276" x14ac:dyDescent="0.25">
      <c r="A7" s="11" t="s">
        <v>27</v>
      </c>
      <c r="B7" s="11" t="s">
        <v>28</v>
      </c>
      <c r="C7" s="12" t="s">
        <v>54</v>
      </c>
      <c r="D7" s="12" t="s">
        <v>55</v>
      </c>
      <c r="E7" s="11" t="s">
        <v>56</v>
      </c>
      <c r="F7" s="11" t="s">
        <v>57</v>
      </c>
      <c r="G7" s="13">
        <v>3</v>
      </c>
      <c r="H7" s="11" t="s">
        <v>58</v>
      </c>
    </row>
    <row r="8" spans="1:8" ht="288" x14ac:dyDescent="0.25">
      <c r="A8" s="11" t="s">
        <v>27</v>
      </c>
      <c r="B8" s="11" t="s">
        <v>59</v>
      </c>
      <c r="C8" s="12" t="s">
        <v>60</v>
      </c>
      <c r="D8" s="12" t="s">
        <v>61</v>
      </c>
      <c r="E8" s="11" t="s">
        <v>62</v>
      </c>
      <c r="F8" s="11" t="s">
        <v>63</v>
      </c>
      <c r="G8" s="13">
        <v>5</v>
      </c>
      <c r="H8" s="11" t="s">
        <v>64</v>
      </c>
    </row>
    <row r="9" spans="1:8" ht="264" x14ac:dyDescent="0.25">
      <c r="A9" s="11" t="s">
        <v>27</v>
      </c>
      <c r="B9" s="11" t="s">
        <v>59</v>
      </c>
      <c r="C9" s="12" t="s">
        <v>65</v>
      </c>
      <c r="D9" s="12" t="s">
        <v>66</v>
      </c>
      <c r="E9" s="11" t="s">
        <v>67</v>
      </c>
      <c r="F9" s="11" t="s">
        <v>68</v>
      </c>
      <c r="G9" s="13">
        <v>3</v>
      </c>
      <c r="H9" s="11" t="s">
        <v>69</v>
      </c>
    </row>
    <row r="10" spans="1:8" ht="204" x14ac:dyDescent="0.25">
      <c r="A10" s="11" t="s">
        <v>27</v>
      </c>
      <c r="B10" s="11" t="s">
        <v>59</v>
      </c>
      <c r="C10" s="12" t="s">
        <v>70</v>
      </c>
      <c r="D10" s="12" t="s">
        <v>71</v>
      </c>
      <c r="E10" s="11" t="s">
        <v>72</v>
      </c>
      <c r="F10" s="11" t="s">
        <v>73</v>
      </c>
      <c r="G10" s="13">
        <v>1</v>
      </c>
      <c r="H10" s="11" t="s">
        <v>74</v>
      </c>
    </row>
    <row r="11" spans="1:8" ht="288" x14ac:dyDescent="0.25">
      <c r="A11" s="11" t="s">
        <v>27</v>
      </c>
      <c r="B11" s="11" t="s">
        <v>75</v>
      </c>
      <c r="C11" s="12" t="s">
        <v>76</v>
      </c>
      <c r="D11" s="12" t="s">
        <v>77</v>
      </c>
      <c r="E11" s="11" t="s">
        <v>78</v>
      </c>
      <c r="F11" s="11" t="s">
        <v>79</v>
      </c>
      <c r="G11" s="13">
        <v>3</v>
      </c>
      <c r="H11" s="11" t="s">
        <v>80</v>
      </c>
    </row>
    <row r="12" spans="1:8" ht="216" x14ac:dyDescent="0.25">
      <c r="A12" s="11" t="s">
        <v>27</v>
      </c>
      <c r="B12" s="11" t="s">
        <v>75</v>
      </c>
      <c r="C12" s="12" t="s">
        <v>81</v>
      </c>
      <c r="D12" s="12" t="s">
        <v>82</v>
      </c>
      <c r="E12" s="11" t="s">
        <v>83</v>
      </c>
      <c r="F12" s="11" t="s">
        <v>84</v>
      </c>
      <c r="G12" s="13">
        <v>3</v>
      </c>
      <c r="H12" s="11" t="s">
        <v>85</v>
      </c>
    </row>
    <row r="13" spans="1:8" ht="288" x14ac:dyDescent="0.25">
      <c r="A13" s="11" t="s">
        <v>27</v>
      </c>
      <c r="B13" s="11" t="s">
        <v>86</v>
      </c>
      <c r="C13" s="12" t="s">
        <v>87</v>
      </c>
      <c r="D13" s="12" t="s">
        <v>88</v>
      </c>
      <c r="E13" s="11" t="s">
        <v>89</v>
      </c>
      <c r="F13" s="11" t="s">
        <v>90</v>
      </c>
      <c r="G13" s="13">
        <v>3</v>
      </c>
      <c r="H13" s="11" t="s">
        <v>91</v>
      </c>
    </row>
    <row r="14" spans="1:8" ht="396" x14ac:dyDescent="0.25">
      <c r="A14" s="11" t="s">
        <v>92</v>
      </c>
      <c r="B14" s="11" t="s">
        <v>93</v>
      </c>
      <c r="C14" s="12" t="s">
        <v>94</v>
      </c>
      <c r="D14" s="12" t="s">
        <v>95</v>
      </c>
      <c r="E14" s="11" t="s">
        <v>96</v>
      </c>
      <c r="F14" s="11" t="s">
        <v>97</v>
      </c>
      <c r="G14" s="13">
        <v>3</v>
      </c>
      <c r="H14" s="11" t="s">
        <v>98</v>
      </c>
    </row>
    <row r="15" spans="1:8" ht="216" x14ac:dyDescent="0.25">
      <c r="A15" s="11" t="s">
        <v>92</v>
      </c>
      <c r="B15" s="11" t="s">
        <v>93</v>
      </c>
      <c r="C15" s="12" t="s">
        <v>99</v>
      </c>
      <c r="D15" s="12" t="s">
        <v>100</v>
      </c>
      <c r="E15" s="11" t="s">
        <v>101</v>
      </c>
      <c r="F15" s="11" t="s">
        <v>102</v>
      </c>
      <c r="G15" s="13">
        <v>3</v>
      </c>
      <c r="H15" s="11" t="s">
        <v>103</v>
      </c>
    </row>
    <row r="16" spans="1:8" ht="336" x14ac:dyDescent="0.25">
      <c r="A16" s="11" t="s">
        <v>92</v>
      </c>
      <c r="B16" s="11" t="s">
        <v>93</v>
      </c>
      <c r="C16" s="12" t="s">
        <v>104</v>
      </c>
      <c r="D16" s="12" t="s">
        <v>105</v>
      </c>
      <c r="E16" s="11" t="s">
        <v>106</v>
      </c>
      <c r="F16" s="11" t="s">
        <v>107</v>
      </c>
      <c r="G16" s="13">
        <v>3</v>
      </c>
      <c r="H16" s="11" t="s">
        <v>108</v>
      </c>
    </row>
    <row r="17" spans="1:8" ht="156" x14ac:dyDescent="0.25">
      <c r="A17" s="11" t="s">
        <v>92</v>
      </c>
      <c r="B17" s="11" t="s">
        <v>93</v>
      </c>
      <c r="C17" s="12" t="s">
        <v>109</v>
      </c>
      <c r="D17" s="12" t="s">
        <v>110</v>
      </c>
      <c r="E17" s="11" t="s">
        <v>111</v>
      </c>
      <c r="F17" s="11" t="s">
        <v>112</v>
      </c>
      <c r="G17" s="13">
        <v>1</v>
      </c>
      <c r="H17" s="11" t="s">
        <v>113</v>
      </c>
    </row>
    <row r="18" spans="1:8" ht="204" x14ac:dyDescent="0.25">
      <c r="A18" s="11" t="s">
        <v>92</v>
      </c>
      <c r="B18" s="11" t="s">
        <v>93</v>
      </c>
      <c r="C18" s="12" t="s">
        <v>114</v>
      </c>
      <c r="D18" s="12" t="s">
        <v>115</v>
      </c>
      <c r="E18" s="11" t="s">
        <v>116</v>
      </c>
      <c r="F18" s="11" t="s">
        <v>117</v>
      </c>
      <c r="G18" s="13">
        <v>3</v>
      </c>
      <c r="H18" s="11" t="s">
        <v>118</v>
      </c>
    </row>
    <row r="19" spans="1:8" ht="336" x14ac:dyDescent="0.25">
      <c r="A19" s="11" t="s">
        <v>92</v>
      </c>
      <c r="B19" s="11" t="s">
        <v>93</v>
      </c>
      <c r="C19" s="12" t="s">
        <v>119</v>
      </c>
      <c r="D19" s="12" t="s">
        <v>120</v>
      </c>
      <c r="E19" s="11" t="s">
        <v>121</v>
      </c>
      <c r="F19" s="11" t="s">
        <v>122</v>
      </c>
      <c r="G19" s="13">
        <v>5</v>
      </c>
      <c r="H19" s="11" t="s">
        <v>123</v>
      </c>
    </row>
    <row r="20" spans="1:8" ht="228" x14ac:dyDescent="0.25">
      <c r="A20" s="11" t="s">
        <v>92</v>
      </c>
      <c r="B20" s="11" t="s">
        <v>75</v>
      </c>
      <c r="C20" s="12" t="s">
        <v>124</v>
      </c>
      <c r="D20" s="12" t="s">
        <v>125</v>
      </c>
      <c r="E20" s="11" t="s">
        <v>126</v>
      </c>
      <c r="F20" s="11" t="s">
        <v>127</v>
      </c>
      <c r="G20" s="13">
        <v>5</v>
      </c>
      <c r="H20" s="11" t="s">
        <v>128</v>
      </c>
    </row>
    <row r="21" spans="1:8" ht="228" x14ac:dyDescent="0.25">
      <c r="A21" s="11" t="s">
        <v>92</v>
      </c>
      <c r="B21" s="11" t="s">
        <v>75</v>
      </c>
      <c r="C21" s="12" t="s">
        <v>129</v>
      </c>
      <c r="D21" s="12" t="s">
        <v>130</v>
      </c>
      <c r="E21" s="11" t="s">
        <v>131</v>
      </c>
      <c r="F21" s="11" t="s">
        <v>132</v>
      </c>
      <c r="G21" s="13">
        <v>3</v>
      </c>
      <c r="H21" s="11" t="s">
        <v>69</v>
      </c>
    </row>
    <row r="22" spans="1:8" ht="276" x14ac:dyDescent="0.25">
      <c r="A22" s="11" t="s">
        <v>92</v>
      </c>
      <c r="B22" s="11" t="s">
        <v>133</v>
      </c>
      <c r="C22" s="12" t="s">
        <v>134</v>
      </c>
      <c r="D22" s="12" t="s">
        <v>135</v>
      </c>
      <c r="E22" s="11" t="s">
        <v>136</v>
      </c>
      <c r="F22" s="11" t="s">
        <v>137</v>
      </c>
      <c r="G22" s="13">
        <v>5</v>
      </c>
      <c r="H22" s="11" t="s">
        <v>138</v>
      </c>
    </row>
    <row r="23" spans="1:8" ht="384" x14ac:dyDescent="0.25">
      <c r="A23" s="11" t="s">
        <v>92</v>
      </c>
      <c r="B23" s="11" t="s">
        <v>139</v>
      </c>
      <c r="C23" s="12" t="s">
        <v>140</v>
      </c>
      <c r="D23" s="12" t="s">
        <v>141</v>
      </c>
      <c r="E23" s="11" t="s">
        <v>142</v>
      </c>
      <c r="F23" s="11" t="s">
        <v>143</v>
      </c>
      <c r="G23" s="13">
        <v>5</v>
      </c>
      <c r="H23" s="11" t="s">
        <v>144</v>
      </c>
    </row>
    <row r="24" spans="1:8" ht="252" x14ac:dyDescent="0.25">
      <c r="A24" s="11" t="s">
        <v>145</v>
      </c>
      <c r="B24" s="11" t="s">
        <v>133</v>
      </c>
      <c r="C24" s="12" t="s">
        <v>146</v>
      </c>
      <c r="D24" s="12" t="s">
        <v>147</v>
      </c>
      <c r="E24" s="11" t="s">
        <v>148</v>
      </c>
      <c r="F24" s="11" t="s">
        <v>149</v>
      </c>
      <c r="G24" s="13">
        <v>3</v>
      </c>
      <c r="H24" s="11" t="s">
        <v>150</v>
      </c>
    </row>
    <row r="25" spans="1:8" ht="300" x14ac:dyDescent="0.25">
      <c r="A25" s="11" t="s">
        <v>145</v>
      </c>
      <c r="B25" s="11" t="s">
        <v>133</v>
      </c>
      <c r="C25" s="12" t="s">
        <v>151</v>
      </c>
      <c r="D25" s="12" t="s">
        <v>152</v>
      </c>
      <c r="E25" s="11" t="s">
        <v>153</v>
      </c>
      <c r="F25" s="11" t="s">
        <v>154</v>
      </c>
      <c r="G25" s="13">
        <v>3</v>
      </c>
      <c r="H25" s="11" t="s">
        <v>155</v>
      </c>
    </row>
    <row r="26" spans="1:8" ht="240" x14ac:dyDescent="0.25">
      <c r="A26" s="11" t="s">
        <v>145</v>
      </c>
      <c r="B26" s="11" t="s">
        <v>133</v>
      </c>
      <c r="C26" s="12" t="s">
        <v>156</v>
      </c>
      <c r="D26" s="12" t="s">
        <v>157</v>
      </c>
      <c r="E26" s="11" t="s">
        <v>158</v>
      </c>
      <c r="F26" s="11" t="s">
        <v>159</v>
      </c>
      <c r="G26" s="13">
        <v>3</v>
      </c>
      <c r="H26" s="11" t="s">
        <v>160</v>
      </c>
    </row>
    <row r="27" spans="1:8" ht="276" x14ac:dyDescent="0.25">
      <c r="A27" s="11" t="s">
        <v>145</v>
      </c>
      <c r="B27" s="11" t="s">
        <v>133</v>
      </c>
      <c r="C27" s="12" t="s">
        <v>161</v>
      </c>
      <c r="D27" s="12" t="s">
        <v>162</v>
      </c>
      <c r="E27" s="11" t="s">
        <v>163</v>
      </c>
      <c r="F27" s="11" t="s">
        <v>164</v>
      </c>
      <c r="G27" s="13">
        <v>3</v>
      </c>
      <c r="H27" s="11" t="s">
        <v>165</v>
      </c>
    </row>
    <row r="28" spans="1:8" ht="228" x14ac:dyDescent="0.25">
      <c r="A28" s="11" t="s">
        <v>145</v>
      </c>
      <c r="B28" s="11" t="s">
        <v>133</v>
      </c>
      <c r="C28" s="12" t="s">
        <v>166</v>
      </c>
      <c r="D28" s="12" t="s">
        <v>167</v>
      </c>
      <c r="E28" s="11" t="s">
        <v>168</v>
      </c>
      <c r="F28" s="11" t="s">
        <v>169</v>
      </c>
      <c r="G28" s="13">
        <v>5</v>
      </c>
      <c r="H28" s="11" t="s">
        <v>170</v>
      </c>
    </row>
    <row r="29" spans="1:8" ht="228" x14ac:dyDescent="0.25">
      <c r="A29" s="11" t="s">
        <v>145</v>
      </c>
      <c r="B29" s="11" t="s">
        <v>171</v>
      </c>
      <c r="C29" s="12" t="s">
        <v>172</v>
      </c>
      <c r="D29" s="12" t="s">
        <v>173</v>
      </c>
      <c r="E29" s="11" t="s">
        <v>174</v>
      </c>
      <c r="F29" s="11" t="s">
        <v>175</v>
      </c>
      <c r="G29" s="13">
        <v>3</v>
      </c>
      <c r="H29" s="11" t="s">
        <v>69</v>
      </c>
    </row>
    <row r="30" spans="1:8" ht="216" x14ac:dyDescent="0.25">
      <c r="A30" s="11" t="s">
        <v>145</v>
      </c>
      <c r="B30" s="11" t="s">
        <v>171</v>
      </c>
      <c r="C30" s="12" t="s">
        <v>176</v>
      </c>
      <c r="D30" s="12" t="s">
        <v>177</v>
      </c>
      <c r="E30" s="11" t="s">
        <v>178</v>
      </c>
      <c r="F30" s="11" t="s">
        <v>179</v>
      </c>
      <c r="G30" s="13">
        <v>3</v>
      </c>
      <c r="H30" s="11" t="s">
        <v>180</v>
      </c>
    </row>
    <row r="31" spans="1:8" ht="216" x14ac:dyDescent="0.25">
      <c r="A31" s="11" t="s">
        <v>145</v>
      </c>
      <c r="B31" s="11" t="s">
        <v>171</v>
      </c>
      <c r="C31" s="12" t="s">
        <v>181</v>
      </c>
      <c r="D31" s="12" t="s">
        <v>182</v>
      </c>
      <c r="E31" s="11" t="s">
        <v>183</v>
      </c>
      <c r="F31" s="11" t="s">
        <v>184</v>
      </c>
      <c r="G31" s="13">
        <v>5</v>
      </c>
      <c r="H31" s="11" t="s">
        <v>185</v>
      </c>
    </row>
    <row r="32" spans="1:8" ht="276" x14ac:dyDescent="0.25">
      <c r="A32" s="11" t="s">
        <v>145</v>
      </c>
      <c r="B32" s="11" t="s">
        <v>171</v>
      </c>
      <c r="C32" s="12" t="s">
        <v>186</v>
      </c>
      <c r="D32" s="12" t="s">
        <v>187</v>
      </c>
      <c r="E32" s="11" t="s">
        <v>188</v>
      </c>
      <c r="F32" s="11" t="s">
        <v>189</v>
      </c>
      <c r="G32" s="13">
        <v>5</v>
      </c>
      <c r="H32" s="11" t="s">
        <v>190</v>
      </c>
    </row>
    <row r="33" spans="1:8" ht="156" x14ac:dyDescent="0.25">
      <c r="A33" s="11" t="s">
        <v>145</v>
      </c>
      <c r="B33" s="11" t="s">
        <v>171</v>
      </c>
      <c r="C33" s="12" t="s">
        <v>191</v>
      </c>
      <c r="D33" s="12" t="s">
        <v>192</v>
      </c>
      <c r="E33" s="11" t="s">
        <v>193</v>
      </c>
      <c r="F33" s="11" t="s">
        <v>194</v>
      </c>
      <c r="G33" s="13">
        <v>1</v>
      </c>
      <c r="H33" s="11" t="s">
        <v>195</v>
      </c>
    </row>
    <row r="34" spans="1:8" ht="216" x14ac:dyDescent="0.25">
      <c r="A34" s="11" t="s">
        <v>145</v>
      </c>
      <c r="B34" s="11" t="s">
        <v>171</v>
      </c>
      <c r="C34" s="12" t="s">
        <v>196</v>
      </c>
      <c r="D34" s="12" t="s">
        <v>197</v>
      </c>
      <c r="E34" s="11" t="s">
        <v>198</v>
      </c>
      <c r="F34" s="11" t="s">
        <v>199</v>
      </c>
      <c r="G34" s="13">
        <v>1</v>
      </c>
      <c r="H34" s="11" t="s">
        <v>200</v>
      </c>
    </row>
    <row r="35" spans="1:8" ht="252" x14ac:dyDescent="0.25">
      <c r="A35" s="11" t="s">
        <v>145</v>
      </c>
      <c r="B35" s="11" t="s">
        <v>171</v>
      </c>
      <c r="C35" s="12" t="s">
        <v>201</v>
      </c>
      <c r="D35" s="12" t="s">
        <v>202</v>
      </c>
      <c r="E35" s="11" t="s">
        <v>203</v>
      </c>
      <c r="F35" s="11" t="s">
        <v>204</v>
      </c>
      <c r="G35" s="13">
        <v>3</v>
      </c>
      <c r="H35" s="11" t="s">
        <v>205</v>
      </c>
    </row>
    <row r="36" spans="1:8" ht="372" x14ac:dyDescent="0.25">
      <c r="A36" s="11" t="s">
        <v>145</v>
      </c>
      <c r="B36" s="11" t="s">
        <v>206</v>
      </c>
      <c r="C36" s="12" t="s">
        <v>207</v>
      </c>
      <c r="D36" s="12" t="s">
        <v>208</v>
      </c>
      <c r="E36" s="11" t="s">
        <v>209</v>
      </c>
      <c r="F36" s="11" t="s">
        <v>210</v>
      </c>
      <c r="G36" s="13">
        <v>5</v>
      </c>
      <c r="H36" s="11" t="s">
        <v>211</v>
      </c>
    </row>
    <row r="37" spans="1:8" ht="216" x14ac:dyDescent="0.25">
      <c r="A37" s="11" t="s">
        <v>212</v>
      </c>
      <c r="B37" s="11" t="s">
        <v>206</v>
      </c>
      <c r="C37" s="12" t="s">
        <v>213</v>
      </c>
      <c r="D37" s="12" t="s">
        <v>214</v>
      </c>
      <c r="E37" s="11" t="s">
        <v>215</v>
      </c>
      <c r="F37" s="11" t="s">
        <v>216</v>
      </c>
      <c r="G37" s="13">
        <v>1</v>
      </c>
      <c r="H37" s="11" t="s">
        <v>217</v>
      </c>
    </row>
    <row r="38" spans="1:8" ht="252" x14ac:dyDescent="0.25">
      <c r="A38" s="11" t="s">
        <v>212</v>
      </c>
      <c r="B38" s="11" t="s">
        <v>206</v>
      </c>
      <c r="C38" s="12" t="s">
        <v>218</v>
      </c>
      <c r="D38" s="12" t="s">
        <v>219</v>
      </c>
      <c r="E38" s="11" t="s">
        <v>220</v>
      </c>
      <c r="F38" s="11" t="s">
        <v>221</v>
      </c>
      <c r="G38" s="13">
        <v>3</v>
      </c>
      <c r="H38" s="11" t="s">
        <v>222</v>
      </c>
    </row>
    <row r="39" spans="1:8" ht="264" x14ac:dyDescent="0.25">
      <c r="A39" s="11" t="s">
        <v>212</v>
      </c>
      <c r="B39" s="11" t="s">
        <v>223</v>
      </c>
      <c r="C39" s="12" t="s">
        <v>224</v>
      </c>
      <c r="D39" s="12" t="s">
        <v>225</v>
      </c>
      <c r="E39" s="11" t="s">
        <v>226</v>
      </c>
      <c r="F39" s="11" t="s">
        <v>227</v>
      </c>
      <c r="G39" s="13">
        <v>5</v>
      </c>
      <c r="H39" s="11" t="s">
        <v>228</v>
      </c>
    </row>
    <row r="40" spans="1:8" ht="336" x14ac:dyDescent="0.25">
      <c r="A40" s="11" t="s">
        <v>212</v>
      </c>
      <c r="B40" s="11" t="s">
        <v>223</v>
      </c>
      <c r="C40" s="12" t="s">
        <v>229</v>
      </c>
      <c r="D40" s="12" t="s">
        <v>230</v>
      </c>
      <c r="E40" s="11" t="s">
        <v>231</v>
      </c>
      <c r="F40" s="11" t="s">
        <v>232</v>
      </c>
      <c r="G40" s="13">
        <v>3</v>
      </c>
      <c r="H40" s="11" t="s">
        <v>233</v>
      </c>
    </row>
    <row r="41" spans="1:8" ht="276" x14ac:dyDescent="0.25">
      <c r="A41" s="11" t="s">
        <v>212</v>
      </c>
      <c r="B41" s="11" t="s">
        <v>223</v>
      </c>
      <c r="C41" s="12" t="s">
        <v>234</v>
      </c>
      <c r="D41" s="12" t="s">
        <v>235</v>
      </c>
      <c r="E41" s="11" t="s">
        <v>236</v>
      </c>
      <c r="F41" s="11" t="s">
        <v>237</v>
      </c>
      <c r="G41" s="13">
        <v>3</v>
      </c>
      <c r="H41" s="11" t="s">
        <v>238</v>
      </c>
    </row>
    <row r="42" spans="1:8" ht="252" x14ac:dyDescent="0.25">
      <c r="A42" s="11" t="s">
        <v>212</v>
      </c>
      <c r="B42" s="11" t="s">
        <v>223</v>
      </c>
      <c r="C42" s="12" t="s">
        <v>239</v>
      </c>
      <c r="D42" s="12" t="s">
        <v>240</v>
      </c>
      <c r="E42" s="11" t="s">
        <v>241</v>
      </c>
      <c r="F42" s="11" t="s">
        <v>242</v>
      </c>
      <c r="G42" s="13">
        <v>5</v>
      </c>
      <c r="H42" s="11" t="s">
        <v>243</v>
      </c>
    </row>
    <row r="43" spans="1:8" ht="144" x14ac:dyDescent="0.25">
      <c r="A43" s="11" t="s">
        <v>212</v>
      </c>
      <c r="B43" s="11" t="s">
        <v>223</v>
      </c>
      <c r="C43" s="12" t="s">
        <v>244</v>
      </c>
      <c r="D43" s="12" t="s">
        <v>245</v>
      </c>
      <c r="E43" s="11" t="s">
        <v>246</v>
      </c>
      <c r="F43" s="11" t="s">
        <v>247</v>
      </c>
      <c r="G43" s="13">
        <v>3</v>
      </c>
      <c r="H43" s="11" t="s">
        <v>248</v>
      </c>
    </row>
    <row r="44" spans="1:8" ht="204" x14ac:dyDescent="0.25">
      <c r="A44" s="11" t="s">
        <v>212</v>
      </c>
      <c r="B44" s="11" t="s">
        <v>223</v>
      </c>
      <c r="C44" s="12" t="s">
        <v>249</v>
      </c>
      <c r="D44" s="12" t="s">
        <v>250</v>
      </c>
      <c r="E44" s="11" t="s">
        <v>251</v>
      </c>
      <c r="F44" s="11" t="s">
        <v>252</v>
      </c>
      <c r="G44" s="13">
        <v>3</v>
      </c>
      <c r="H44" s="11" t="s">
        <v>253</v>
      </c>
    </row>
    <row r="45" spans="1:8" ht="264" x14ac:dyDescent="0.25">
      <c r="A45" s="11" t="s">
        <v>212</v>
      </c>
      <c r="B45" s="11" t="s">
        <v>223</v>
      </c>
      <c r="C45" s="12" t="s">
        <v>254</v>
      </c>
      <c r="D45" s="12" t="s">
        <v>255</v>
      </c>
      <c r="E45" s="11" t="s">
        <v>256</v>
      </c>
      <c r="F45" s="11" t="s">
        <v>257</v>
      </c>
      <c r="G45" s="13">
        <v>1</v>
      </c>
      <c r="H45" s="11" t="s">
        <v>258</v>
      </c>
    </row>
    <row r="46" spans="1:8" ht="276" x14ac:dyDescent="0.25">
      <c r="A46" s="11" t="s">
        <v>212</v>
      </c>
      <c r="B46" s="11" t="s">
        <v>259</v>
      </c>
      <c r="C46" s="12" t="s">
        <v>260</v>
      </c>
      <c r="D46" s="12" t="s">
        <v>261</v>
      </c>
      <c r="E46" s="11" t="s">
        <v>262</v>
      </c>
      <c r="F46" s="11" t="s">
        <v>263</v>
      </c>
      <c r="G46" s="13">
        <v>3</v>
      </c>
      <c r="H46" s="11" t="s">
        <v>264</v>
      </c>
    </row>
    <row r="47" spans="1:8" ht="324" x14ac:dyDescent="0.25">
      <c r="A47" s="11" t="s">
        <v>212</v>
      </c>
      <c r="B47" s="11" t="s">
        <v>259</v>
      </c>
      <c r="C47" s="12" t="s">
        <v>265</v>
      </c>
      <c r="D47" s="12" t="s">
        <v>266</v>
      </c>
      <c r="E47" s="11" t="s">
        <v>267</v>
      </c>
      <c r="F47" s="11" t="s">
        <v>268</v>
      </c>
      <c r="G47" s="13">
        <v>5</v>
      </c>
      <c r="H47" s="11" t="s">
        <v>269</v>
      </c>
    </row>
    <row r="48" spans="1:8" ht="288" x14ac:dyDescent="0.25">
      <c r="A48" s="11" t="s">
        <v>212</v>
      </c>
      <c r="B48" s="11" t="s">
        <v>259</v>
      </c>
      <c r="C48" s="12" t="s">
        <v>270</v>
      </c>
      <c r="D48" s="12" t="s">
        <v>271</v>
      </c>
      <c r="E48" s="11" t="s">
        <v>272</v>
      </c>
      <c r="F48" s="11" t="s">
        <v>273</v>
      </c>
      <c r="G48" s="13">
        <v>5</v>
      </c>
      <c r="H48" s="11" t="s">
        <v>274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2"/>
  <sheetViews>
    <sheetView tabSelected="1" zoomScaleNormal="100" workbookViewId="0">
      <pane ySplit="1" topLeftCell="A48" activePane="bottomLeft" state="frozen"/>
      <selection pane="bottomLeft" activeCell="A49" sqref="A49:H49"/>
    </sheetView>
  </sheetViews>
  <sheetFormatPr defaultColWidth="8.7109375" defaultRowHeight="15" x14ac:dyDescent="0.25"/>
  <cols>
    <col min="1" max="1" width="8.28515625" style="15" bestFit="1" customWidth="1"/>
    <col min="2" max="2" width="26" style="15" customWidth="1"/>
    <col min="3" max="3" width="8.140625" style="15" bestFit="1" customWidth="1"/>
    <col min="4" max="4" width="30" style="15" customWidth="1"/>
    <col min="5" max="5" width="46" style="15" customWidth="1"/>
    <col min="6" max="6" width="88" style="15" customWidth="1"/>
    <col min="7" max="7" width="6.5703125" style="15" bestFit="1" customWidth="1"/>
    <col min="8" max="8" width="26" style="15" customWidth="1"/>
    <col min="9" max="16384" width="8.7109375" style="15"/>
  </cols>
  <sheetData>
    <row r="1" spans="1:8" ht="25.5" x14ac:dyDescent="0.25">
      <c r="A1" s="18" t="s">
        <v>275</v>
      </c>
      <c r="B1" s="18" t="s">
        <v>21</v>
      </c>
      <c r="C1" s="18" t="s">
        <v>22</v>
      </c>
      <c r="D1" s="18" t="s">
        <v>23</v>
      </c>
      <c r="E1" s="18" t="s">
        <v>24</v>
      </c>
      <c r="F1" s="18" t="s">
        <v>25</v>
      </c>
      <c r="G1" s="18" t="s">
        <v>26</v>
      </c>
      <c r="H1" s="18" t="s">
        <v>10</v>
      </c>
    </row>
    <row r="2" spans="1:8" ht="324" x14ac:dyDescent="0.25">
      <c r="A2" s="17">
        <v>1</v>
      </c>
      <c r="B2" s="17" t="s">
        <v>28</v>
      </c>
      <c r="C2" s="19" t="s">
        <v>29</v>
      </c>
      <c r="D2" s="19" t="s">
        <v>30</v>
      </c>
      <c r="E2" s="17" t="s">
        <v>31</v>
      </c>
      <c r="F2" s="17" t="s">
        <v>32</v>
      </c>
      <c r="G2" s="16">
        <v>3</v>
      </c>
      <c r="H2" s="17" t="s">
        <v>33</v>
      </c>
    </row>
    <row r="3" spans="1:8" ht="240" x14ac:dyDescent="0.25">
      <c r="A3" s="17">
        <v>1</v>
      </c>
      <c r="B3" s="17" t="s">
        <v>28</v>
      </c>
      <c r="C3" s="19" t="s">
        <v>34</v>
      </c>
      <c r="D3" s="19" t="s">
        <v>35</v>
      </c>
      <c r="E3" s="17" t="s">
        <v>36</v>
      </c>
      <c r="F3" s="17" t="s">
        <v>37</v>
      </c>
      <c r="G3" s="16">
        <v>5</v>
      </c>
      <c r="H3" s="17" t="s">
        <v>38</v>
      </c>
    </row>
    <row r="4" spans="1:8" ht="168" x14ac:dyDescent="0.25">
      <c r="A4" s="17">
        <v>1</v>
      </c>
      <c r="B4" s="17" t="s">
        <v>28</v>
      </c>
      <c r="C4" s="19" t="s">
        <v>39</v>
      </c>
      <c r="D4" s="19" t="s">
        <v>40</v>
      </c>
      <c r="E4" s="17" t="s">
        <v>41</v>
      </c>
      <c r="F4" s="17" t="s">
        <v>42</v>
      </c>
      <c r="G4" s="16">
        <v>3</v>
      </c>
      <c r="H4" s="17" t="s">
        <v>43</v>
      </c>
    </row>
    <row r="5" spans="1:8" ht="264" x14ac:dyDescent="0.25">
      <c r="A5" s="17">
        <v>1</v>
      </c>
      <c r="B5" s="17" t="s">
        <v>28</v>
      </c>
      <c r="C5" s="19" t="s">
        <v>44</v>
      </c>
      <c r="D5" s="19" t="s">
        <v>45</v>
      </c>
      <c r="E5" s="17" t="s">
        <v>46</v>
      </c>
      <c r="F5" s="17" t="s">
        <v>47</v>
      </c>
      <c r="G5" s="16">
        <v>1</v>
      </c>
      <c r="H5" s="17" t="s">
        <v>48</v>
      </c>
    </row>
    <row r="6" spans="1:8" ht="84" x14ac:dyDescent="0.25">
      <c r="A6" s="17"/>
      <c r="B6" s="17" t="s">
        <v>28</v>
      </c>
      <c r="C6" s="19" t="s">
        <v>276</v>
      </c>
      <c r="D6" s="19" t="s">
        <v>277</v>
      </c>
      <c r="E6" s="17" t="s">
        <v>278</v>
      </c>
      <c r="F6" s="17" t="s">
        <v>279</v>
      </c>
      <c r="G6" s="16">
        <v>3</v>
      </c>
      <c r="H6" s="17" t="s">
        <v>280</v>
      </c>
    </row>
    <row r="7" spans="1:8" ht="84" x14ac:dyDescent="0.25">
      <c r="A7" s="17"/>
      <c r="B7" s="17" t="s">
        <v>28</v>
      </c>
      <c r="C7" s="19" t="s">
        <v>281</v>
      </c>
      <c r="D7" s="19" t="s">
        <v>282</v>
      </c>
      <c r="E7" s="17" t="s">
        <v>283</v>
      </c>
      <c r="F7" s="17" t="s">
        <v>284</v>
      </c>
      <c r="G7" s="16">
        <v>3</v>
      </c>
      <c r="H7" s="17" t="s">
        <v>69</v>
      </c>
    </row>
    <row r="8" spans="1:8" ht="84" x14ac:dyDescent="0.25">
      <c r="A8" s="17"/>
      <c r="B8" s="17" t="s">
        <v>28</v>
      </c>
      <c r="C8" s="19" t="s">
        <v>285</v>
      </c>
      <c r="D8" s="19" t="s">
        <v>286</v>
      </c>
      <c r="E8" s="17" t="s">
        <v>287</v>
      </c>
      <c r="F8" s="17" t="s">
        <v>288</v>
      </c>
      <c r="G8" s="16">
        <v>1</v>
      </c>
      <c r="H8" s="17" t="s">
        <v>69</v>
      </c>
    </row>
    <row r="9" spans="1:8" ht="252" x14ac:dyDescent="0.25">
      <c r="A9" s="17">
        <v>1</v>
      </c>
      <c r="B9" s="17" t="s">
        <v>28</v>
      </c>
      <c r="C9" s="19" t="s">
        <v>49</v>
      </c>
      <c r="D9" s="19" t="s">
        <v>50</v>
      </c>
      <c r="E9" s="17" t="s">
        <v>51</v>
      </c>
      <c r="F9" s="17" t="s">
        <v>52</v>
      </c>
      <c r="G9" s="16">
        <v>3</v>
      </c>
      <c r="H9" s="17" t="s">
        <v>53</v>
      </c>
    </row>
    <row r="10" spans="1:8" ht="204" x14ac:dyDescent="0.25">
      <c r="A10" s="17"/>
      <c r="B10" s="17" t="s">
        <v>28</v>
      </c>
      <c r="C10" s="19" t="s">
        <v>289</v>
      </c>
      <c r="D10" s="19" t="s">
        <v>290</v>
      </c>
      <c r="E10" s="17" t="s">
        <v>291</v>
      </c>
      <c r="F10" s="17" t="s">
        <v>292</v>
      </c>
      <c r="G10" s="16">
        <v>5</v>
      </c>
      <c r="H10" s="17" t="s">
        <v>293</v>
      </c>
    </row>
    <row r="11" spans="1:8" ht="276" x14ac:dyDescent="0.25">
      <c r="A11" s="17">
        <v>1</v>
      </c>
      <c r="B11" s="17" t="s">
        <v>28</v>
      </c>
      <c r="C11" s="19" t="s">
        <v>54</v>
      </c>
      <c r="D11" s="19" t="s">
        <v>55</v>
      </c>
      <c r="E11" s="17" t="s">
        <v>56</v>
      </c>
      <c r="F11" s="17" t="s">
        <v>57</v>
      </c>
      <c r="G11" s="16">
        <v>3</v>
      </c>
      <c r="H11" s="17" t="s">
        <v>58</v>
      </c>
    </row>
    <row r="12" spans="1:8" ht="288" x14ac:dyDescent="0.25">
      <c r="A12" s="17">
        <v>1</v>
      </c>
      <c r="B12" s="17" t="s">
        <v>59</v>
      </c>
      <c r="C12" s="19" t="s">
        <v>60</v>
      </c>
      <c r="D12" s="19" t="s">
        <v>61</v>
      </c>
      <c r="E12" s="17" t="s">
        <v>62</v>
      </c>
      <c r="F12" s="17" t="s">
        <v>63</v>
      </c>
      <c r="G12" s="16">
        <v>5</v>
      </c>
      <c r="H12" s="17" t="s">
        <v>64</v>
      </c>
    </row>
    <row r="13" spans="1:8" ht="264" x14ac:dyDescent="0.25">
      <c r="A13" s="17">
        <v>1</v>
      </c>
      <c r="B13" s="17" t="s">
        <v>59</v>
      </c>
      <c r="C13" s="19" t="s">
        <v>65</v>
      </c>
      <c r="D13" s="19" t="s">
        <v>66</v>
      </c>
      <c r="E13" s="17" t="s">
        <v>67</v>
      </c>
      <c r="F13" s="17" t="s">
        <v>68</v>
      </c>
      <c r="G13" s="16">
        <v>3</v>
      </c>
      <c r="H13" s="17" t="s">
        <v>69</v>
      </c>
    </row>
    <row r="14" spans="1:8" ht="204" x14ac:dyDescent="0.25">
      <c r="A14" s="17">
        <v>1</v>
      </c>
      <c r="B14" s="17" t="s">
        <v>59</v>
      </c>
      <c r="C14" s="19" t="s">
        <v>70</v>
      </c>
      <c r="D14" s="19" t="s">
        <v>71</v>
      </c>
      <c r="E14" s="17" t="s">
        <v>72</v>
      </c>
      <c r="F14" s="17" t="s">
        <v>73</v>
      </c>
      <c r="G14" s="16">
        <v>1</v>
      </c>
      <c r="H14" s="17" t="s">
        <v>74</v>
      </c>
    </row>
    <row r="15" spans="1:8" ht="84" x14ac:dyDescent="0.25">
      <c r="A15" s="17"/>
      <c r="B15" s="17" t="s">
        <v>59</v>
      </c>
      <c r="C15" s="19" t="s">
        <v>294</v>
      </c>
      <c r="D15" s="19" t="s">
        <v>295</v>
      </c>
      <c r="E15" s="17" t="s">
        <v>296</v>
      </c>
      <c r="F15" s="17" t="s">
        <v>297</v>
      </c>
      <c r="G15" s="16">
        <v>1</v>
      </c>
      <c r="H15" s="17" t="s">
        <v>298</v>
      </c>
    </row>
    <row r="16" spans="1:8" ht="84" x14ac:dyDescent="0.25">
      <c r="A16" s="17"/>
      <c r="B16" s="17" t="s">
        <v>59</v>
      </c>
      <c r="C16" s="19" t="s">
        <v>299</v>
      </c>
      <c r="D16" s="19" t="s">
        <v>300</v>
      </c>
      <c r="E16" s="17" t="s">
        <v>301</v>
      </c>
      <c r="F16" s="17" t="s">
        <v>302</v>
      </c>
      <c r="G16" s="16">
        <v>3</v>
      </c>
      <c r="H16" s="17" t="s">
        <v>69</v>
      </c>
    </row>
    <row r="17" spans="1:8" ht="204" x14ac:dyDescent="0.25">
      <c r="A17" s="17"/>
      <c r="B17" s="17" t="s">
        <v>59</v>
      </c>
      <c r="C17" s="19" t="s">
        <v>303</v>
      </c>
      <c r="D17" s="19" t="s">
        <v>304</v>
      </c>
      <c r="E17" s="17" t="s">
        <v>305</v>
      </c>
      <c r="F17" s="17" t="s">
        <v>306</v>
      </c>
      <c r="G17" s="16">
        <v>3</v>
      </c>
      <c r="H17" s="17" t="s">
        <v>307</v>
      </c>
    </row>
    <row r="18" spans="1:8" ht="396" x14ac:dyDescent="0.25">
      <c r="A18" s="17">
        <v>1</v>
      </c>
      <c r="B18" s="17" t="s">
        <v>93</v>
      </c>
      <c r="C18" s="19" t="s">
        <v>94</v>
      </c>
      <c r="D18" s="19" t="s">
        <v>95</v>
      </c>
      <c r="E18" s="17" t="s">
        <v>96</v>
      </c>
      <c r="F18" s="17" t="s">
        <v>97</v>
      </c>
      <c r="G18" s="16">
        <v>3</v>
      </c>
      <c r="H18" s="17" t="s">
        <v>98</v>
      </c>
    </row>
    <row r="19" spans="1:8" ht="216" x14ac:dyDescent="0.25">
      <c r="A19" s="17">
        <v>1</v>
      </c>
      <c r="B19" s="17" t="s">
        <v>93</v>
      </c>
      <c r="C19" s="19" t="s">
        <v>99</v>
      </c>
      <c r="D19" s="19" t="s">
        <v>100</v>
      </c>
      <c r="E19" s="17" t="s">
        <v>101</v>
      </c>
      <c r="F19" s="17" t="s">
        <v>102</v>
      </c>
      <c r="G19" s="16">
        <v>3</v>
      </c>
      <c r="H19" s="17" t="s">
        <v>103</v>
      </c>
    </row>
    <row r="20" spans="1:8" ht="336" x14ac:dyDescent="0.25">
      <c r="A20" s="17">
        <v>1</v>
      </c>
      <c r="B20" s="17" t="s">
        <v>93</v>
      </c>
      <c r="C20" s="19" t="s">
        <v>104</v>
      </c>
      <c r="D20" s="19" t="s">
        <v>105</v>
      </c>
      <c r="E20" s="17" t="s">
        <v>106</v>
      </c>
      <c r="F20" s="17" t="s">
        <v>107</v>
      </c>
      <c r="G20" s="16">
        <v>3</v>
      </c>
      <c r="H20" s="17" t="s">
        <v>108</v>
      </c>
    </row>
    <row r="21" spans="1:8" ht="156" x14ac:dyDescent="0.25">
      <c r="A21" s="17">
        <v>1</v>
      </c>
      <c r="B21" s="17" t="s">
        <v>93</v>
      </c>
      <c r="C21" s="19" t="s">
        <v>109</v>
      </c>
      <c r="D21" s="19" t="s">
        <v>110</v>
      </c>
      <c r="E21" s="17" t="s">
        <v>111</v>
      </c>
      <c r="F21" s="17" t="s">
        <v>112</v>
      </c>
      <c r="G21" s="16">
        <v>1</v>
      </c>
      <c r="H21" s="17" t="s">
        <v>113</v>
      </c>
    </row>
    <row r="22" spans="1:8" ht="204" x14ac:dyDescent="0.25">
      <c r="A22" s="17">
        <v>1</v>
      </c>
      <c r="B22" s="17" t="s">
        <v>93</v>
      </c>
      <c r="C22" s="19" t="s">
        <v>114</v>
      </c>
      <c r="D22" s="19" t="s">
        <v>115</v>
      </c>
      <c r="E22" s="17" t="s">
        <v>116</v>
      </c>
      <c r="F22" s="17" t="s">
        <v>117</v>
      </c>
      <c r="G22" s="16">
        <v>3</v>
      </c>
      <c r="H22" s="17" t="s">
        <v>118</v>
      </c>
    </row>
    <row r="23" spans="1:8" ht="336" x14ac:dyDescent="0.25">
      <c r="A23" s="17">
        <v>1</v>
      </c>
      <c r="B23" s="17" t="s">
        <v>93</v>
      </c>
      <c r="C23" s="19" t="s">
        <v>119</v>
      </c>
      <c r="D23" s="19" t="s">
        <v>120</v>
      </c>
      <c r="E23" s="17" t="s">
        <v>121</v>
      </c>
      <c r="F23" s="17" t="s">
        <v>122</v>
      </c>
      <c r="G23" s="16">
        <v>5</v>
      </c>
      <c r="H23" s="17" t="s">
        <v>123</v>
      </c>
    </row>
    <row r="24" spans="1:8" ht="120" x14ac:dyDescent="0.25">
      <c r="A24" s="17"/>
      <c r="B24" s="17" t="s">
        <v>308</v>
      </c>
      <c r="C24" s="19" t="s">
        <v>309</v>
      </c>
      <c r="D24" s="19" t="s">
        <v>310</v>
      </c>
      <c r="E24" s="17" t="s">
        <v>311</v>
      </c>
      <c r="F24" s="17" t="s">
        <v>312</v>
      </c>
      <c r="G24" s="16">
        <v>5</v>
      </c>
      <c r="H24" s="17" t="s">
        <v>313</v>
      </c>
    </row>
    <row r="25" spans="1:8" ht="264" x14ac:dyDescent="0.25">
      <c r="A25" s="17"/>
      <c r="B25" s="17" t="s">
        <v>308</v>
      </c>
      <c r="C25" s="19" t="s">
        <v>314</v>
      </c>
      <c r="D25" s="19" t="s">
        <v>315</v>
      </c>
      <c r="E25" s="17" t="s">
        <v>316</v>
      </c>
      <c r="F25" s="17" t="s">
        <v>317</v>
      </c>
      <c r="G25" s="16">
        <v>5</v>
      </c>
      <c r="H25" s="17" t="s">
        <v>318</v>
      </c>
    </row>
    <row r="26" spans="1:8" ht="288" x14ac:dyDescent="0.25">
      <c r="A26" s="17">
        <v>1</v>
      </c>
      <c r="B26" s="17" t="s">
        <v>75</v>
      </c>
      <c r="C26" s="19" t="s">
        <v>76</v>
      </c>
      <c r="D26" s="19" t="s">
        <v>77</v>
      </c>
      <c r="E26" s="17" t="s">
        <v>78</v>
      </c>
      <c r="F26" s="17" t="s">
        <v>79</v>
      </c>
      <c r="G26" s="16">
        <v>3</v>
      </c>
      <c r="H26" s="17" t="s">
        <v>80</v>
      </c>
    </row>
    <row r="27" spans="1:8" ht="216" x14ac:dyDescent="0.25">
      <c r="A27" s="17">
        <v>1</v>
      </c>
      <c r="B27" s="17" t="s">
        <v>75</v>
      </c>
      <c r="C27" s="19" t="s">
        <v>81</v>
      </c>
      <c r="D27" s="19" t="s">
        <v>82</v>
      </c>
      <c r="E27" s="17" t="s">
        <v>83</v>
      </c>
      <c r="F27" s="17" t="s">
        <v>84</v>
      </c>
      <c r="G27" s="16">
        <v>3</v>
      </c>
      <c r="H27" s="17" t="s">
        <v>85</v>
      </c>
    </row>
    <row r="28" spans="1:8" ht="228" x14ac:dyDescent="0.25">
      <c r="A28" s="17">
        <v>1</v>
      </c>
      <c r="B28" s="17" t="s">
        <v>75</v>
      </c>
      <c r="C28" s="19" t="s">
        <v>124</v>
      </c>
      <c r="D28" s="19" t="s">
        <v>125</v>
      </c>
      <c r="E28" s="17" t="s">
        <v>126</v>
      </c>
      <c r="F28" s="17" t="s">
        <v>127</v>
      </c>
      <c r="G28" s="16">
        <v>5</v>
      </c>
      <c r="H28" s="17" t="s">
        <v>128</v>
      </c>
    </row>
    <row r="29" spans="1:8" ht="228" x14ac:dyDescent="0.25">
      <c r="A29" s="17">
        <v>1</v>
      </c>
      <c r="B29" s="17" t="s">
        <v>75</v>
      </c>
      <c r="C29" s="19" t="s">
        <v>129</v>
      </c>
      <c r="D29" s="19" t="s">
        <v>130</v>
      </c>
      <c r="E29" s="17" t="s">
        <v>131</v>
      </c>
      <c r="F29" s="17" t="s">
        <v>132</v>
      </c>
      <c r="G29" s="16">
        <v>3</v>
      </c>
      <c r="H29" s="17" t="s">
        <v>69</v>
      </c>
    </row>
    <row r="30" spans="1:8" ht="84" x14ac:dyDescent="0.25">
      <c r="A30" s="17"/>
      <c r="B30" s="17" t="s">
        <v>75</v>
      </c>
      <c r="C30" s="19" t="s">
        <v>319</v>
      </c>
      <c r="D30" s="19" t="s">
        <v>320</v>
      </c>
      <c r="E30" s="17" t="s">
        <v>321</v>
      </c>
      <c r="F30" s="17" t="s">
        <v>322</v>
      </c>
      <c r="G30" s="16">
        <v>5</v>
      </c>
      <c r="H30" s="17" t="s">
        <v>323</v>
      </c>
    </row>
    <row r="31" spans="1:8" ht="276" x14ac:dyDescent="0.25">
      <c r="A31" s="17">
        <v>1</v>
      </c>
      <c r="B31" s="17" t="s">
        <v>133</v>
      </c>
      <c r="C31" s="19" t="s">
        <v>134</v>
      </c>
      <c r="D31" s="19" t="s">
        <v>135</v>
      </c>
      <c r="E31" s="17" t="s">
        <v>136</v>
      </c>
      <c r="F31" s="17" t="s">
        <v>137</v>
      </c>
      <c r="G31" s="16">
        <v>5</v>
      </c>
      <c r="H31" s="17" t="s">
        <v>138</v>
      </c>
    </row>
    <row r="32" spans="1:8" ht="252" x14ac:dyDescent="0.25">
      <c r="A32" s="17">
        <v>1</v>
      </c>
      <c r="B32" s="17" t="s">
        <v>133</v>
      </c>
      <c r="C32" s="19" t="s">
        <v>146</v>
      </c>
      <c r="D32" s="19" t="s">
        <v>147</v>
      </c>
      <c r="E32" s="17" t="s">
        <v>148</v>
      </c>
      <c r="F32" s="17" t="s">
        <v>149</v>
      </c>
      <c r="G32" s="16">
        <v>3</v>
      </c>
      <c r="H32" s="17" t="s">
        <v>150</v>
      </c>
    </row>
    <row r="33" spans="1:8" ht="300" x14ac:dyDescent="0.25">
      <c r="A33" s="17">
        <v>1</v>
      </c>
      <c r="B33" s="17" t="s">
        <v>133</v>
      </c>
      <c r="C33" s="19" t="s">
        <v>151</v>
      </c>
      <c r="D33" s="19" t="s">
        <v>152</v>
      </c>
      <c r="E33" s="17" t="s">
        <v>153</v>
      </c>
      <c r="F33" s="17" t="s">
        <v>154</v>
      </c>
      <c r="G33" s="16">
        <v>3</v>
      </c>
      <c r="H33" s="17" t="s">
        <v>155</v>
      </c>
    </row>
    <row r="34" spans="1:8" ht="240" x14ac:dyDescent="0.25">
      <c r="A34" s="17">
        <v>1</v>
      </c>
      <c r="B34" s="17" t="s">
        <v>133</v>
      </c>
      <c r="C34" s="19" t="s">
        <v>156</v>
      </c>
      <c r="D34" s="19" t="s">
        <v>157</v>
      </c>
      <c r="E34" s="17" t="s">
        <v>158</v>
      </c>
      <c r="F34" s="17" t="s">
        <v>159</v>
      </c>
      <c r="G34" s="16">
        <v>3</v>
      </c>
      <c r="H34" s="17" t="s">
        <v>160</v>
      </c>
    </row>
    <row r="35" spans="1:8" ht="276" x14ac:dyDescent="0.25">
      <c r="A35" s="17">
        <v>1</v>
      </c>
      <c r="B35" s="17" t="s">
        <v>133</v>
      </c>
      <c r="C35" s="19" t="s">
        <v>161</v>
      </c>
      <c r="D35" s="19" t="s">
        <v>162</v>
      </c>
      <c r="E35" s="17" t="s">
        <v>163</v>
      </c>
      <c r="F35" s="17" t="s">
        <v>164</v>
      </c>
      <c r="G35" s="16">
        <v>3</v>
      </c>
      <c r="H35" s="17" t="s">
        <v>165</v>
      </c>
    </row>
    <row r="36" spans="1:8" ht="228" x14ac:dyDescent="0.25">
      <c r="A36" s="17">
        <v>1</v>
      </c>
      <c r="B36" s="17" t="s">
        <v>133</v>
      </c>
      <c r="C36" s="19" t="s">
        <v>166</v>
      </c>
      <c r="D36" s="19" t="s">
        <v>167</v>
      </c>
      <c r="E36" s="17" t="s">
        <v>168</v>
      </c>
      <c r="F36" s="17" t="s">
        <v>169</v>
      </c>
      <c r="G36" s="16">
        <v>5</v>
      </c>
      <c r="H36" s="17" t="s">
        <v>170</v>
      </c>
    </row>
    <row r="37" spans="1:8" ht="228" x14ac:dyDescent="0.25">
      <c r="A37" s="17">
        <v>1</v>
      </c>
      <c r="B37" s="17" t="s">
        <v>171</v>
      </c>
      <c r="C37" s="19" t="s">
        <v>172</v>
      </c>
      <c r="D37" s="19" t="s">
        <v>173</v>
      </c>
      <c r="E37" s="17" t="s">
        <v>174</v>
      </c>
      <c r="F37" s="17" t="s">
        <v>175</v>
      </c>
      <c r="G37" s="16">
        <v>3</v>
      </c>
      <c r="H37" s="17" t="s">
        <v>69</v>
      </c>
    </row>
    <row r="38" spans="1:8" ht="216" x14ac:dyDescent="0.25">
      <c r="A38" s="17">
        <v>1</v>
      </c>
      <c r="B38" s="17" t="s">
        <v>171</v>
      </c>
      <c r="C38" s="19" t="s">
        <v>176</v>
      </c>
      <c r="D38" s="19" t="s">
        <v>177</v>
      </c>
      <c r="E38" s="17" t="s">
        <v>178</v>
      </c>
      <c r="F38" s="17" t="s">
        <v>179</v>
      </c>
      <c r="G38" s="16">
        <v>3</v>
      </c>
      <c r="H38" s="17" t="s">
        <v>180</v>
      </c>
    </row>
    <row r="39" spans="1:8" ht="216" x14ac:dyDescent="0.25">
      <c r="A39" s="17">
        <v>1</v>
      </c>
      <c r="B39" s="17" t="s">
        <v>171</v>
      </c>
      <c r="C39" s="19" t="s">
        <v>181</v>
      </c>
      <c r="D39" s="19" t="s">
        <v>182</v>
      </c>
      <c r="E39" s="17" t="s">
        <v>183</v>
      </c>
      <c r="F39" s="17" t="s">
        <v>184</v>
      </c>
      <c r="G39" s="16">
        <v>5</v>
      </c>
      <c r="H39" s="17" t="s">
        <v>185</v>
      </c>
    </row>
    <row r="40" spans="1:8" ht="276" x14ac:dyDescent="0.25">
      <c r="A40" s="17">
        <v>1</v>
      </c>
      <c r="B40" s="17" t="s">
        <v>171</v>
      </c>
      <c r="C40" s="19" t="s">
        <v>186</v>
      </c>
      <c r="D40" s="19" t="s">
        <v>187</v>
      </c>
      <c r="E40" s="17" t="s">
        <v>188</v>
      </c>
      <c r="F40" s="17" t="s">
        <v>189</v>
      </c>
      <c r="G40" s="16">
        <v>5</v>
      </c>
      <c r="H40" s="17" t="s">
        <v>190</v>
      </c>
    </row>
    <row r="41" spans="1:8" ht="156" x14ac:dyDescent="0.25">
      <c r="A41" s="17">
        <v>1</v>
      </c>
      <c r="B41" s="17" t="s">
        <v>171</v>
      </c>
      <c r="C41" s="19" t="s">
        <v>191</v>
      </c>
      <c r="D41" s="19" t="s">
        <v>192</v>
      </c>
      <c r="E41" s="17" t="s">
        <v>193</v>
      </c>
      <c r="F41" s="17" t="s">
        <v>194</v>
      </c>
      <c r="G41" s="16">
        <v>1</v>
      </c>
      <c r="H41" s="17" t="s">
        <v>195</v>
      </c>
    </row>
    <row r="42" spans="1:8" ht="216" x14ac:dyDescent="0.25">
      <c r="A42" s="17">
        <v>1</v>
      </c>
      <c r="B42" s="17" t="s">
        <v>171</v>
      </c>
      <c r="C42" s="19" t="s">
        <v>196</v>
      </c>
      <c r="D42" s="19" t="s">
        <v>197</v>
      </c>
      <c r="E42" s="17" t="s">
        <v>198</v>
      </c>
      <c r="F42" s="17" t="s">
        <v>199</v>
      </c>
      <c r="G42" s="16">
        <v>1</v>
      </c>
      <c r="H42" s="17" t="s">
        <v>200</v>
      </c>
    </row>
    <row r="43" spans="1:8" ht="252" x14ac:dyDescent="0.25">
      <c r="A43" s="17">
        <v>1</v>
      </c>
      <c r="B43" s="17" t="s">
        <v>171</v>
      </c>
      <c r="C43" s="19" t="s">
        <v>201</v>
      </c>
      <c r="D43" s="19" t="s">
        <v>202</v>
      </c>
      <c r="E43" s="17" t="s">
        <v>203</v>
      </c>
      <c r="F43" s="17" t="s">
        <v>204</v>
      </c>
      <c r="G43" s="16">
        <v>3</v>
      </c>
      <c r="H43" s="17" t="s">
        <v>205</v>
      </c>
    </row>
    <row r="44" spans="1:8" ht="84" x14ac:dyDescent="0.25">
      <c r="A44" s="17"/>
      <c r="B44" s="17" t="s">
        <v>206</v>
      </c>
      <c r="C44" s="19" t="s">
        <v>324</v>
      </c>
      <c r="D44" s="19" t="s">
        <v>325</v>
      </c>
      <c r="E44" s="17" t="s">
        <v>326</v>
      </c>
      <c r="F44" s="17" t="s">
        <v>327</v>
      </c>
      <c r="G44" s="16">
        <v>3</v>
      </c>
      <c r="H44" s="17" t="s">
        <v>69</v>
      </c>
    </row>
    <row r="45" spans="1:8" ht="84" x14ac:dyDescent="0.25">
      <c r="A45" s="17"/>
      <c r="B45" s="17" t="s">
        <v>206</v>
      </c>
      <c r="C45" s="19" t="s">
        <v>328</v>
      </c>
      <c r="D45" s="19" t="s">
        <v>329</v>
      </c>
      <c r="E45" s="17" t="s">
        <v>330</v>
      </c>
      <c r="F45" s="17" t="s">
        <v>331</v>
      </c>
      <c r="G45" s="16">
        <v>3</v>
      </c>
      <c r="H45" s="17" t="s">
        <v>332</v>
      </c>
    </row>
    <row r="46" spans="1:8" ht="372" x14ac:dyDescent="0.25">
      <c r="A46" s="17">
        <v>1</v>
      </c>
      <c r="B46" s="17" t="s">
        <v>206</v>
      </c>
      <c r="C46" s="19" t="s">
        <v>207</v>
      </c>
      <c r="D46" s="19" t="s">
        <v>208</v>
      </c>
      <c r="E46" s="17" t="s">
        <v>209</v>
      </c>
      <c r="F46" s="17" t="s">
        <v>210</v>
      </c>
      <c r="G46" s="16">
        <v>5</v>
      </c>
      <c r="H46" s="17" t="s">
        <v>211</v>
      </c>
    </row>
    <row r="47" spans="1:8" ht="216" x14ac:dyDescent="0.25">
      <c r="A47" s="17">
        <v>1</v>
      </c>
      <c r="B47" s="17" t="s">
        <v>206</v>
      </c>
      <c r="C47" s="19" t="s">
        <v>213</v>
      </c>
      <c r="D47" s="19" t="s">
        <v>214</v>
      </c>
      <c r="E47" s="17" t="s">
        <v>215</v>
      </c>
      <c r="F47" s="17" t="s">
        <v>216</v>
      </c>
      <c r="G47" s="16">
        <v>1</v>
      </c>
      <c r="H47" s="17" t="s">
        <v>217</v>
      </c>
    </row>
    <row r="48" spans="1:8" ht="252" x14ac:dyDescent="0.25">
      <c r="A48" s="17">
        <v>1</v>
      </c>
      <c r="B48" s="17" t="s">
        <v>206</v>
      </c>
      <c r="C48" s="19" t="s">
        <v>218</v>
      </c>
      <c r="D48" s="19" t="s">
        <v>219</v>
      </c>
      <c r="E48" s="17" t="s">
        <v>220</v>
      </c>
      <c r="F48" s="17" t="s">
        <v>221</v>
      </c>
      <c r="G48" s="16">
        <v>3</v>
      </c>
      <c r="H48" s="17" t="s">
        <v>222</v>
      </c>
    </row>
    <row r="49" spans="1:8" ht="264" x14ac:dyDescent="0.25">
      <c r="A49" s="17">
        <v>1</v>
      </c>
      <c r="B49" s="17" t="s">
        <v>223</v>
      </c>
      <c r="C49" s="19" t="s">
        <v>224</v>
      </c>
      <c r="D49" s="19" t="s">
        <v>225</v>
      </c>
      <c r="E49" s="17" t="s">
        <v>226</v>
      </c>
      <c r="F49" s="17" t="s">
        <v>227</v>
      </c>
      <c r="G49" s="16">
        <v>5</v>
      </c>
      <c r="H49" s="17" t="s">
        <v>228</v>
      </c>
    </row>
    <row r="50" spans="1:8" ht="336" x14ac:dyDescent="0.25">
      <c r="A50" s="17">
        <v>1</v>
      </c>
      <c r="B50" s="17" t="s">
        <v>223</v>
      </c>
      <c r="C50" s="19" t="s">
        <v>229</v>
      </c>
      <c r="D50" s="19" t="s">
        <v>230</v>
      </c>
      <c r="E50" s="17" t="s">
        <v>231</v>
      </c>
      <c r="F50" s="17" t="s">
        <v>232</v>
      </c>
      <c r="G50" s="16">
        <v>3</v>
      </c>
      <c r="H50" s="17" t="s">
        <v>233</v>
      </c>
    </row>
    <row r="51" spans="1:8" ht="276" x14ac:dyDescent="0.25">
      <c r="A51" s="17">
        <v>1</v>
      </c>
      <c r="B51" s="17" t="s">
        <v>223</v>
      </c>
      <c r="C51" s="19" t="s">
        <v>234</v>
      </c>
      <c r="D51" s="19" t="s">
        <v>235</v>
      </c>
      <c r="E51" s="17" t="s">
        <v>236</v>
      </c>
      <c r="F51" s="17" t="s">
        <v>237</v>
      </c>
      <c r="G51" s="16">
        <v>3</v>
      </c>
      <c r="H51" s="17" t="s">
        <v>238</v>
      </c>
    </row>
    <row r="52" spans="1:8" ht="252" x14ac:dyDescent="0.25">
      <c r="A52" s="17">
        <v>1</v>
      </c>
      <c r="B52" s="17" t="s">
        <v>223</v>
      </c>
      <c r="C52" s="19" t="s">
        <v>239</v>
      </c>
      <c r="D52" s="19" t="s">
        <v>240</v>
      </c>
      <c r="E52" s="17" t="s">
        <v>241</v>
      </c>
      <c r="F52" s="17" t="s">
        <v>242</v>
      </c>
      <c r="G52" s="16">
        <v>5</v>
      </c>
      <c r="H52" s="17" t="s">
        <v>243</v>
      </c>
    </row>
    <row r="53" spans="1:8" ht="144" x14ac:dyDescent="0.25">
      <c r="A53" s="17">
        <v>1</v>
      </c>
      <c r="B53" s="17" t="s">
        <v>223</v>
      </c>
      <c r="C53" s="19" t="s">
        <v>244</v>
      </c>
      <c r="D53" s="19" t="s">
        <v>245</v>
      </c>
      <c r="E53" s="17" t="s">
        <v>246</v>
      </c>
      <c r="F53" s="17" t="s">
        <v>247</v>
      </c>
      <c r="G53" s="16">
        <v>3</v>
      </c>
      <c r="H53" s="17" t="s">
        <v>248</v>
      </c>
    </row>
    <row r="54" spans="1:8" ht="204" x14ac:dyDescent="0.25">
      <c r="A54" s="17">
        <v>1</v>
      </c>
      <c r="B54" s="17" t="s">
        <v>223</v>
      </c>
      <c r="C54" s="19" t="s">
        <v>249</v>
      </c>
      <c r="D54" s="19" t="s">
        <v>250</v>
      </c>
      <c r="E54" s="17" t="s">
        <v>251</v>
      </c>
      <c r="F54" s="17" t="s">
        <v>252</v>
      </c>
      <c r="G54" s="16">
        <v>3</v>
      </c>
      <c r="H54" s="17" t="s">
        <v>253</v>
      </c>
    </row>
    <row r="55" spans="1:8" ht="264" x14ac:dyDescent="0.25">
      <c r="A55" s="17">
        <v>1</v>
      </c>
      <c r="B55" s="17" t="s">
        <v>223</v>
      </c>
      <c r="C55" s="19" t="s">
        <v>254</v>
      </c>
      <c r="D55" s="19" t="s">
        <v>255</v>
      </c>
      <c r="E55" s="17" t="s">
        <v>256</v>
      </c>
      <c r="F55" s="17" t="s">
        <v>257</v>
      </c>
      <c r="G55" s="16">
        <v>1</v>
      </c>
      <c r="H55" s="17" t="s">
        <v>258</v>
      </c>
    </row>
    <row r="56" spans="1:8" ht="276" x14ac:dyDescent="0.25">
      <c r="A56" s="17">
        <v>1</v>
      </c>
      <c r="B56" s="17" t="s">
        <v>259</v>
      </c>
      <c r="C56" s="19" t="s">
        <v>260</v>
      </c>
      <c r="D56" s="19" t="s">
        <v>261</v>
      </c>
      <c r="E56" s="17" t="s">
        <v>262</v>
      </c>
      <c r="F56" s="17" t="s">
        <v>263</v>
      </c>
      <c r="G56" s="16">
        <v>3</v>
      </c>
      <c r="H56" s="17" t="s">
        <v>264</v>
      </c>
    </row>
    <row r="57" spans="1:8" ht="324" x14ac:dyDescent="0.25">
      <c r="A57" s="17">
        <v>1</v>
      </c>
      <c r="B57" s="17" t="s">
        <v>259</v>
      </c>
      <c r="C57" s="19" t="s">
        <v>265</v>
      </c>
      <c r="D57" s="19" t="s">
        <v>266</v>
      </c>
      <c r="E57" s="17" t="s">
        <v>267</v>
      </c>
      <c r="F57" s="17" t="s">
        <v>268</v>
      </c>
      <c r="G57" s="16">
        <v>5</v>
      </c>
      <c r="H57" s="17" t="s">
        <v>269</v>
      </c>
    </row>
    <row r="58" spans="1:8" ht="84" x14ac:dyDescent="0.25">
      <c r="A58" s="17"/>
      <c r="B58" s="17" t="s">
        <v>259</v>
      </c>
      <c r="C58" s="19" t="s">
        <v>333</v>
      </c>
      <c r="D58" s="19" t="s">
        <v>334</v>
      </c>
      <c r="E58" s="17" t="s">
        <v>335</v>
      </c>
      <c r="F58" s="17" t="s">
        <v>336</v>
      </c>
      <c r="G58" s="16">
        <v>5</v>
      </c>
      <c r="H58" s="17" t="s">
        <v>337</v>
      </c>
    </row>
    <row r="59" spans="1:8" ht="288" x14ac:dyDescent="0.25">
      <c r="A59" s="17">
        <v>1</v>
      </c>
      <c r="B59" s="17" t="s">
        <v>259</v>
      </c>
      <c r="C59" s="19" t="s">
        <v>270</v>
      </c>
      <c r="D59" s="19" t="s">
        <v>271</v>
      </c>
      <c r="E59" s="17" t="s">
        <v>272</v>
      </c>
      <c r="F59" s="17" t="s">
        <v>273</v>
      </c>
      <c r="G59" s="16">
        <v>5</v>
      </c>
      <c r="H59" s="17" t="s">
        <v>274</v>
      </c>
    </row>
    <row r="60" spans="1:8" ht="84" x14ac:dyDescent="0.25">
      <c r="A60" s="17"/>
      <c r="B60" s="17" t="s">
        <v>259</v>
      </c>
      <c r="C60" s="19" t="s">
        <v>338</v>
      </c>
      <c r="D60" s="19" t="s">
        <v>339</v>
      </c>
      <c r="E60" s="17" t="s">
        <v>340</v>
      </c>
      <c r="F60" s="17" t="s">
        <v>341</v>
      </c>
      <c r="G60" s="16">
        <v>3</v>
      </c>
      <c r="H60" s="17" t="s">
        <v>69</v>
      </c>
    </row>
    <row r="61" spans="1:8" ht="384" x14ac:dyDescent="0.25">
      <c r="A61" s="17">
        <v>1</v>
      </c>
      <c r="B61" s="17" t="s">
        <v>139</v>
      </c>
      <c r="C61" s="19" t="s">
        <v>140</v>
      </c>
      <c r="D61" s="19" t="s">
        <v>141</v>
      </c>
      <c r="E61" s="17" t="s">
        <v>142</v>
      </c>
      <c r="F61" s="17" t="s">
        <v>143</v>
      </c>
      <c r="G61" s="16">
        <v>5</v>
      </c>
      <c r="H61" s="17" t="s">
        <v>144</v>
      </c>
    </row>
    <row r="62" spans="1:8" ht="84" x14ac:dyDescent="0.25">
      <c r="A62" s="17"/>
      <c r="B62" s="17" t="s">
        <v>139</v>
      </c>
      <c r="C62" s="19" t="s">
        <v>342</v>
      </c>
      <c r="D62" s="19" t="s">
        <v>343</v>
      </c>
      <c r="E62" s="17" t="s">
        <v>344</v>
      </c>
      <c r="F62" s="17" t="s">
        <v>345</v>
      </c>
      <c r="G62" s="16">
        <v>3</v>
      </c>
      <c r="H62" s="17" t="s">
        <v>346</v>
      </c>
    </row>
    <row r="63" spans="1:8" ht="84" x14ac:dyDescent="0.25">
      <c r="A63" s="17"/>
      <c r="B63" s="17" t="s">
        <v>139</v>
      </c>
      <c r="C63" s="19" t="s">
        <v>347</v>
      </c>
      <c r="D63" s="19" t="s">
        <v>348</v>
      </c>
      <c r="E63" s="17" t="s">
        <v>349</v>
      </c>
      <c r="F63" s="17" t="s">
        <v>350</v>
      </c>
      <c r="G63" s="16">
        <v>3</v>
      </c>
      <c r="H63" s="17" t="s">
        <v>69</v>
      </c>
    </row>
    <row r="64" spans="1:8" ht="84" x14ac:dyDescent="0.25">
      <c r="A64" s="17"/>
      <c r="B64" s="17" t="s">
        <v>351</v>
      </c>
      <c r="C64" s="19" t="s">
        <v>352</v>
      </c>
      <c r="D64" s="19" t="s">
        <v>353</v>
      </c>
      <c r="E64" s="17" t="s">
        <v>354</v>
      </c>
      <c r="F64" s="17" t="s">
        <v>355</v>
      </c>
      <c r="G64" s="16">
        <v>3</v>
      </c>
      <c r="H64" s="17" t="s">
        <v>69</v>
      </c>
    </row>
    <row r="65" spans="1:8" ht="120" x14ac:dyDescent="0.25">
      <c r="A65" s="17"/>
      <c r="B65" s="17" t="s">
        <v>351</v>
      </c>
      <c r="C65" s="19" t="s">
        <v>356</v>
      </c>
      <c r="D65" s="19" t="s">
        <v>357</v>
      </c>
      <c r="E65" s="17" t="s">
        <v>358</v>
      </c>
      <c r="F65" s="17" t="s">
        <v>359</v>
      </c>
      <c r="G65" s="16">
        <v>3</v>
      </c>
      <c r="H65" s="17" t="s">
        <v>69</v>
      </c>
    </row>
    <row r="66" spans="1:8" ht="84" x14ac:dyDescent="0.25">
      <c r="A66" s="17"/>
      <c r="B66" s="17" t="s">
        <v>351</v>
      </c>
      <c r="C66" s="19" t="s">
        <v>360</v>
      </c>
      <c r="D66" s="19" t="s">
        <v>361</v>
      </c>
      <c r="E66" s="17" t="s">
        <v>362</v>
      </c>
      <c r="F66" s="17" t="s">
        <v>363</v>
      </c>
      <c r="G66" s="16">
        <v>5</v>
      </c>
      <c r="H66" s="17" t="s">
        <v>69</v>
      </c>
    </row>
    <row r="67" spans="1:8" ht="84" x14ac:dyDescent="0.25">
      <c r="A67" s="17"/>
      <c r="B67" s="17" t="s">
        <v>351</v>
      </c>
      <c r="C67" s="19" t="s">
        <v>364</v>
      </c>
      <c r="D67" s="19" t="s">
        <v>365</v>
      </c>
      <c r="E67" s="17" t="s">
        <v>366</v>
      </c>
      <c r="F67" s="17" t="s">
        <v>367</v>
      </c>
      <c r="G67" s="16">
        <v>3</v>
      </c>
      <c r="H67" s="17" t="s">
        <v>69</v>
      </c>
    </row>
    <row r="68" spans="1:8" ht="72" x14ac:dyDescent="0.25">
      <c r="A68" s="17"/>
      <c r="B68" s="17" t="s">
        <v>368</v>
      </c>
      <c r="C68" s="19" t="s">
        <v>369</v>
      </c>
      <c r="D68" s="19" t="s">
        <v>370</v>
      </c>
      <c r="E68" s="17" t="s">
        <v>371</v>
      </c>
      <c r="F68" s="17" t="s">
        <v>372</v>
      </c>
      <c r="G68" s="16">
        <v>5</v>
      </c>
      <c r="H68" s="17" t="s">
        <v>373</v>
      </c>
    </row>
    <row r="69" spans="1:8" ht="72" x14ac:dyDescent="0.25">
      <c r="A69" s="17"/>
      <c r="B69" s="17" t="s">
        <v>368</v>
      </c>
      <c r="C69" s="19" t="s">
        <v>374</v>
      </c>
      <c r="D69" s="19" t="s">
        <v>375</v>
      </c>
      <c r="E69" s="17" t="s">
        <v>376</v>
      </c>
      <c r="F69" s="17" t="s">
        <v>377</v>
      </c>
      <c r="G69" s="16">
        <v>5</v>
      </c>
      <c r="H69" s="17" t="s">
        <v>373</v>
      </c>
    </row>
    <row r="70" spans="1:8" ht="48" x14ac:dyDescent="0.25">
      <c r="A70" s="17"/>
      <c r="B70" s="17" t="s">
        <v>368</v>
      </c>
      <c r="C70" s="19" t="s">
        <v>378</v>
      </c>
      <c r="D70" s="19" t="s">
        <v>379</v>
      </c>
      <c r="E70" s="17" t="s">
        <v>380</v>
      </c>
      <c r="F70" s="17" t="s">
        <v>381</v>
      </c>
      <c r="G70" s="16">
        <v>3</v>
      </c>
      <c r="H70" s="17" t="s">
        <v>382</v>
      </c>
    </row>
    <row r="71" spans="1:8" ht="84" x14ac:dyDescent="0.25">
      <c r="A71" s="17"/>
      <c r="B71" s="17" t="s">
        <v>86</v>
      </c>
      <c r="C71" s="19" t="s">
        <v>383</v>
      </c>
      <c r="D71" s="19" t="s">
        <v>384</v>
      </c>
      <c r="E71" s="17" t="s">
        <v>385</v>
      </c>
      <c r="F71" s="17" t="s">
        <v>386</v>
      </c>
      <c r="G71" s="16">
        <v>3</v>
      </c>
      <c r="H71" s="17" t="s">
        <v>69</v>
      </c>
    </row>
    <row r="72" spans="1:8" ht="288" x14ac:dyDescent="0.25">
      <c r="A72" s="17">
        <v>1</v>
      </c>
      <c r="B72" s="17" t="s">
        <v>86</v>
      </c>
      <c r="C72" s="19" t="s">
        <v>87</v>
      </c>
      <c r="D72" s="19" t="s">
        <v>88</v>
      </c>
      <c r="E72" s="17" t="s">
        <v>89</v>
      </c>
      <c r="F72" s="17" t="s">
        <v>90</v>
      </c>
      <c r="G72" s="16">
        <v>3</v>
      </c>
      <c r="H72" s="17" t="s">
        <v>91</v>
      </c>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zoomScaleNormal="100" workbookViewId="0"/>
  </sheetViews>
  <sheetFormatPr defaultColWidth="8.7109375" defaultRowHeight="15" x14ac:dyDescent="0.25"/>
  <cols>
    <col min="1" max="1" width="16" customWidth="1"/>
    <col min="2" max="3" width="14" customWidth="1"/>
    <col min="4" max="4" width="16" customWidth="1"/>
    <col min="5" max="5" width="46" customWidth="1"/>
    <col min="6" max="6" width="14" customWidth="1"/>
  </cols>
  <sheetData>
    <row r="1" spans="1:6" x14ac:dyDescent="0.25">
      <c r="A1" s="2" t="s">
        <v>20</v>
      </c>
      <c r="B1" s="2" t="s">
        <v>387</v>
      </c>
      <c r="C1" s="2" t="s">
        <v>26</v>
      </c>
      <c r="D1" s="2" t="s">
        <v>388</v>
      </c>
      <c r="E1" s="2" t="s">
        <v>389</v>
      </c>
      <c r="F1" s="2" t="s">
        <v>390</v>
      </c>
    </row>
    <row r="2" spans="1:6" ht="36" x14ac:dyDescent="0.25">
      <c r="A2" s="3" t="s">
        <v>27</v>
      </c>
      <c r="B2" s="3">
        <f>COUNTIFS('RELEASE 1 BACKLOG'!$A$2:$A$48,$A2,'RELEASE 1 BACKLOG'!$C$2:$C$48,"&lt;&gt;")</f>
        <v>12</v>
      </c>
      <c r="C2" s="3">
        <f>SUMIFS('RELEASE 1 BACKLOG'!$G$2:$G$48,'RELEASE 1 BACKLOG'!$A$2:$A$48,$A2)</f>
        <v>36</v>
      </c>
      <c r="D2" s="3">
        <f>SUM($C$2:$C2)</f>
        <v>36</v>
      </c>
      <c r="E2" s="1" t="s">
        <v>391</v>
      </c>
      <c r="F2" s="3" t="s">
        <v>392</v>
      </c>
    </row>
    <row r="3" spans="1:6" ht="24" x14ac:dyDescent="0.25">
      <c r="A3" s="3" t="s">
        <v>92</v>
      </c>
      <c r="B3" s="3">
        <f>COUNTIFS('RELEASE 1 BACKLOG'!$A$2:$A$48,$A3,'RELEASE 1 BACKLOG'!$C$2:$C$48,"&lt;&gt;")</f>
        <v>10</v>
      </c>
      <c r="C3" s="3">
        <f>SUMIFS('RELEASE 1 BACKLOG'!$G$2:$G$48,'RELEASE 1 BACKLOG'!$A$2:$A$48,$A3)</f>
        <v>36</v>
      </c>
      <c r="D3" s="3">
        <f>SUM($C$2:$C3)</f>
        <v>72</v>
      </c>
      <c r="E3" s="1" t="s">
        <v>393</v>
      </c>
      <c r="F3" s="3" t="s">
        <v>394</v>
      </c>
    </row>
    <row r="4" spans="1:6" ht="36" x14ac:dyDescent="0.25">
      <c r="A4" s="3" t="s">
        <v>145</v>
      </c>
      <c r="B4" s="3">
        <f>COUNTIFS('RELEASE 1 BACKLOG'!$A$2:$A$48,$A4,'RELEASE 1 BACKLOG'!$C$2:$C$48,"&lt;&gt;")</f>
        <v>13</v>
      </c>
      <c r="C4" s="3">
        <f>SUMIFS('RELEASE 1 BACKLOG'!$G$2:$G$48,'RELEASE 1 BACKLOG'!$A$2:$A$48,$A4)</f>
        <v>43</v>
      </c>
      <c r="D4" s="3">
        <f>SUM($C$2:$C4)</f>
        <v>115</v>
      </c>
      <c r="E4" s="1" t="s">
        <v>395</v>
      </c>
      <c r="F4" s="3" t="s">
        <v>396</v>
      </c>
    </row>
    <row r="5" spans="1:6" ht="24" x14ac:dyDescent="0.25">
      <c r="A5" s="3" t="s">
        <v>212</v>
      </c>
      <c r="B5" s="3">
        <f>COUNTIFS('RELEASE 1 BACKLOG'!$A$2:$A$48,$A5,'RELEASE 1 BACKLOG'!$C$2:$C$48,"&lt;&gt;")</f>
        <v>12</v>
      </c>
      <c r="C5" s="3">
        <f>SUMIFS('RELEASE 1 BACKLOG'!$G$2:$G$48,'RELEASE 1 BACKLOG'!$A$2:$A$48,$A5)</f>
        <v>40</v>
      </c>
      <c r="D5" s="3">
        <f>SUM($C$2:$C5)</f>
        <v>155</v>
      </c>
      <c r="E5" s="1" t="s">
        <v>397</v>
      </c>
      <c r="F5" s="3" t="s">
        <v>398</v>
      </c>
    </row>
    <row r="6" spans="1:6" x14ac:dyDescent="0.25">
      <c r="A6" s="4" t="s">
        <v>399</v>
      </c>
      <c r="B6" s="4">
        <f>SUM(B2:B5)</f>
        <v>47</v>
      </c>
      <c r="C6" s="4">
        <f>SUM(C2:C5)</f>
        <v>155</v>
      </c>
      <c r="D6" s="5"/>
      <c r="E6" s="5"/>
      <c r="F6" s="5"/>
    </row>
    <row r="7" spans="1:6" ht="48" x14ac:dyDescent="0.25">
      <c r="E7" s="6" t="s">
        <v>400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zoomScaleNormal="100" workbookViewId="0">
      <selection activeCell="D2" sqref="D2"/>
    </sheetView>
  </sheetViews>
  <sheetFormatPr defaultColWidth="8.7109375" defaultRowHeight="15" x14ac:dyDescent="0.25"/>
  <cols>
    <col min="1" max="1" width="4" style="15" bestFit="1" customWidth="1"/>
    <col min="2" max="2" width="31.140625" style="15" bestFit="1" customWidth="1"/>
    <col min="3" max="3" width="39.7109375" style="15" bestFit="1" customWidth="1"/>
    <col min="4" max="4" width="7.28515625" style="15" bestFit="1" customWidth="1"/>
    <col min="5" max="16384" width="8.7109375" style="15"/>
  </cols>
  <sheetData>
    <row r="1" spans="1:4" x14ac:dyDescent="0.25">
      <c r="A1" s="14" t="s">
        <v>401</v>
      </c>
      <c r="B1" s="14" t="s">
        <v>402</v>
      </c>
      <c r="C1" s="14" t="s">
        <v>403</v>
      </c>
      <c r="D1" s="14" t="s">
        <v>387</v>
      </c>
    </row>
    <row r="2" spans="1:4" x14ac:dyDescent="0.25">
      <c r="A2" s="16">
        <v>1</v>
      </c>
      <c r="B2" s="16" t="s">
        <v>404</v>
      </c>
      <c r="C2" s="17" t="s">
        <v>405</v>
      </c>
      <c r="D2" s="16">
        <v>5</v>
      </c>
    </row>
    <row r="3" spans="1:4" x14ac:dyDescent="0.25">
      <c r="A3" s="16">
        <v>2</v>
      </c>
      <c r="B3" s="16" t="s">
        <v>406</v>
      </c>
      <c r="C3" s="17" t="s">
        <v>407</v>
      </c>
      <c r="D3" s="16">
        <v>2</v>
      </c>
    </row>
    <row r="4" spans="1:4" x14ac:dyDescent="0.25">
      <c r="A4" s="16">
        <v>3</v>
      </c>
      <c r="B4" s="16" t="s">
        <v>408</v>
      </c>
      <c r="C4" s="17" t="s">
        <v>65</v>
      </c>
      <c r="D4" s="16">
        <v>1</v>
      </c>
    </row>
    <row r="5" spans="1:4" x14ac:dyDescent="0.25">
      <c r="A5" s="16">
        <v>4</v>
      </c>
      <c r="B5" s="16" t="s">
        <v>409</v>
      </c>
      <c r="C5" s="17" t="s">
        <v>410</v>
      </c>
      <c r="D5" s="16">
        <v>2</v>
      </c>
    </row>
    <row r="6" spans="1:4" x14ac:dyDescent="0.25">
      <c r="A6" s="16">
        <v>5</v>
      </c>
      <c r="B6" s="16" t="s">
        <v>411</v>
      </c>
      <c r="C6" s="17" t="s">
        <v>94</v>
      </c>
      <c r="D6" s="16">
        <v>1</v>
      </c>
    </row>
    <row r="7" spans="1:4" x14ac:dyDescent="0.25">
      <c r="A7" s="16">
        <v>6</v>
      </c>
      <c r="B7" s="16" t="s">
        <v>412</v>
      </c>
      <c r="C7" s="17" t="s">
        <v>413</v>
      </c>
      <c r="D7" s="16">
        <v>4</v>
      </c>
    </row>
    <row r="8" spans="1:4" x14ac:dyDescent="0.25">
      <c r="A8" s="16">
        <v>7</v>
      </c>
      <c r="B8" s="16" t="s">
        <v>414</v>
      </c>
      <c r="C8" s="17" t="s">
        <v>415</v>
      </c>
      <c r="D8" s="16">
        <v>2</v>
      </c>
    </row>
    <row r="9" spans="1:4" x14ac:dyDescent="0.25">
      <c r="A9" s="16">
        <v>8</v>
      </c>
      <c r="B9" s="16" t="s">
        <v>416</v>
      </c>
      <c r="C9" s="17" t="s">
        <v>417</v>
      </c>
      <c r="D9" s="16">
        <v>2</v>
      </c>
    </row>
    <row r="10" spans="1:4" x14ac:dyDescent="0.25">
      <c r="A10" s="16">
        <v>9</v>
      </c>
      <c r="B10" s="16" t="s">
        <v>418</v>
      </c>
      <c r="C10" s="17" t="s">
        <v>419</v>
      </c>
      <c r="D10" s="16">
        <v>2</v>
      </c>
    </row>
    <row r="11" spans="1:4" x14ac:dyDescent="0.25">
      <c r="A11" s="16">
        <v>10</v>
      </c>
      <c r="B11" s="16" t="s">
        <v>420</v>
      </c>
      <c r="C11" s="17" t="s">
        <v>134</v>
      </c>
      <c r="D11" s="16">
        <v>1</v>
      </c>
    </row>
    <row r="12" spans="1:4" x14ac:dyDescent="0.25">
      <c r="A12" s="16">
        <v>11</v>
      </c>
      <c r="B12" s="16" t="s">
        <v>421</v>
      </c>
      <c r="C12" s="17" t="s">
        <v>146</v>
      </c>
      <c r="D12" s="16">
        <v>1</v>
      </c>
    </row>
    <row r="13" spans="1:4" x14ac:dyDescent="0.25">
      <c r="A13" s="16">
        <v>12</v>
      </c>
      <c r="B13" s="16" t="s">
        <v>422</v>
      </c>
      <c r="C13" s="17" t="s">
        <v>151</v>
      </c>
      <c r="D13" s="16">
        <v>1</v>
      </c>
    </row>
    <row r="14" spans="1:4" x14ac:dyDescent="0.25">
      <c r="A14" s="16">
        <v>13</v>
      </c>
      <c r="B14" s="16" t="s">
        <v>423</v>
      </c>
      <c r="C14" s="17" t="s">
        <v>156</v>
      </c>
      <c r="D14" s="16">
        <v>1</v>
      </c>
    </row>
    <row r="15" spans="1:4" x14ac:dyDescent="0.25">
      <c r="A15" s="16">
        <v>14</v>
      </c>
      <c r="B15" s="16" t="s">
        <v>424</v>
      </c>
      <c r="C15" s="17" t="s">
        <v>166</v>
      </c>
      <c r="D15" s="16">
        <v>1</v>
      </c>
    </row>
    <row r="16" spans="1:4" x14ac:dyDescent="0.25">
      <c r="A16" s="16">
        <v>15</v>
      </c>
      <c r="B16" s="16" t="s">
        <v>425</v>
      </c>
      <c r="C16" s="17" t="s">
        <v>176</v>
      </c>
      <c r="D16" s="16">
        <v>1</v>
      </c>
    </row>
    <row r="17" spans="1:4" x14ac:dyDescent="0.25">
      <c r="A17" s="16">
        <v>16</v>
      </c>
      <c r="B17" s="16" t="s">
        <v>426</v>
      </c>
      <c r="C17" s="17" t="s">
        <v>427</v>
      </c>
      <c r="D17" s="16">
        <v>3</v>
      </c>
    </row>
    <row r="18" spans="1:4" x14ac:dyDescent="0.25">
      <c r="A18" s="16">
        <v>17</v>
      </c>
      <c r="B18" s="16" t="s">
        <v>428</v>
      </c>
      <c r="C18" s="17" t="s">
        <v>186</v>
      </c>
      <c r="D18" s="16">
        <v>1</v>
      </c>
    </row>
    <row r="19" spans="1:4" x14ac:dyDescent="0.25">
      <c r="A19" s="16">
        <v>18</v>
      </c>
      <c r="B19" s="16" t="s">
        <v>429</v>
      </c>
      <c r="C19" s="17" t="s">
        <v>430</v>
      </c>
      <c r="D19" s="16">
        <v>3</v>
      </c>
    </row>
    <row r="20" spans="1:4" x14ac:dyDescent="0.25">
      <c r="A20" s="16">
        <v>19</v>
      </c>
      <c r="B20" s="16" t="s">
        <v>431</v>
      </c>
      <c r="C20" s="17" t="s">
        <v>432</v>
      </c>
      <c r="D20" s="16">
        <v>2</v>
      </c>
    </row>
    <row r="21" spans="1:4" x14ac:dyDescent="0.25">
      <c r="A21" s="16">
        <v>20</v>
      </c>
      <c r="B21" s="16" t="s">
        <v>433</v>
      </c>
      <c r="C21" s="17" t="s">
        <v>140</v>
      </c>
      <c r="D21" s="16">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RELEASE 1 BACKLOG</vt:lpstr>
      <vt:lpstr>PRODUCT BACKLOG</vt:lpstr>
      <vt:lpstr>SPRINT SUMMARY</vt:lpstr>
      <vt:lpstr>CORE FEATURES BUILT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cp:lastModifiedBy>
  <cp:revision>0</cp:revision>
  <dcterms:created xsi:type="dcterms:W3CDTF">2026-09-12T04:47:55Z</dcterms:created>
  <dcterms:modified xsi:type="dcterms:W3CDTF">2026-09-12T15:18:16Z</dcterms:modified>
  <dc:language>en-US</dc:language>
</cp:coreProperties>
</file>